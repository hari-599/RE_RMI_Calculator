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VERNANCE" sheetId="1" r:id="rId4"/>
    <sheet state="visible" name="MARKET CONDITIONS" sheetId="2" r:id="rId5"/>
    <sheet state="visible" name="NON-PROSUMERS " sheetId="3" r:id="rId6"/>
    <sheet state="visible" name="LIVE-PROSUMERS" sheetId="4" r:id="rId7"/>
  </sheets>
  <definedNames/>
  <calcPr/>
  <extLst>
    <ext uri="GoogleSheetsCustomDataVersion2">
      <go:sheetsCustomData xmlns:go="http://customooxmlschemas.google.com/" r:id="rId8" roundtripDataChecksum="IbL9JhNuo1G+isgq8/1PKIeUyZveed/Gx91yQvQzzYo="/>
    </ext>
  </extLst>
</workbook>
</file>

<file path=xl/sharedStrings.xml><?xml version="1.0" encoding="utf-8"?>
<sst xmlns="http://schemas.openxmlformats.org/spreadsheetml/2006/main" count="746" uniqueCount="657">
  <si>
    <t>RE-RMI DOMAIN: GOVERNANCE</t>
  </si>
  <si>
    <t>Region:</t>
  </si>
  <si>
    <t>Code</t>
  </si>
  <si>
    <t>Indicator</t>
  </si>
  <si>
    <t>Question no.</t>
  </si>
  <si>
    <t>Sub-Indicator</t>
  </si>
  <si>
    <t xml:space="preserve">GOV_Response </t>
  </si>
  <si>
    <t>GOV_Response Value</t>
  </si>
  <si>
    <t>SPS1</t>
  </si>
  <si>
    <t>Renewable energy policies</t>
  </si>
  <si>
    <t>G.Q1</t>
  </si>
  <si>
    <t xml:space="preserve">Existance of Renewable energy policies and targets </t>
  </si>
  <si>
    <t>Select</t>
  </si>
  <si>
    <t>SPS2</t>
  </si>
  <si>
    <t>Renewable energy schemes</t>
  </si>
  <si>
    <t>G.Q2</t>
  </si>
  <si>
    <t>Existance of designated schemes for potential RES under the RE policy of the state, focusing domestic sector</t>
  </si>
  <si>
    <t>G.Q3</t>
  </si>
  <si>
    <t>Comprehensiveness in schemes planning</t>
  </si>
  <si>
    <t>SPS3</t>
  </si>
  <si>
    <t>Mandatory guidelines</t>
  </si>
  <si>
    <t>G.Q4</t>
  </si>
  <si>
    <t>Mandatory guidelines for RET installation in Households</t>
  </si>
  <si>
    <t>SPS4</t>
  </si>
  <si>
    <t>Operational procedures</t>
  </si>
  <si>
    <t>G.Q5</t>
  </si>
  <si>
    <t>Enforcement of Standard Operational Procedures by Govt.</t>
  </si>
  <si>
    <t>SPS5</t>
  </si>
  <si>
    <t>Recognitions and certifications</t>
  </si>
  <si>
    <t>G.Q6</t>
  </si>
  <si>
    <t xml:space="preserve">Promotional events or advertisements </t>
  </si>
  <si>
    <t>G.Q7</t>
  </si>
  <si>
    <t>Certifications for appreciating RET adoption</t>
  </si>
  <si>
    <t>IA1</t>
  </si>
  <si>
    <t>Organizational structure</t>
  </si>
  <si>
    <t>G.Q8</t>
  </si>
  <si>
    <t>Visible governance structure for program implementation</t>
  </si>
  <si>
    <t>IA2</t>
  </si>
  <si>
    <t>Capacity building</t>
  </si>
  <si>
    <t>G.Q9</t>
  </si>
  <si>
    <t xml:space="preserve">Skill development training sessions/courses for RET installation and maintenance </t>
  </si>
  <si>
    <t>G.Q10</t>
  </si>
  <si>
    <t>Regularity of skill development training sessions/courses for RET installation and maintenance (in months)</t>
  </si>
  <si>
    <t>Add value</t>
  </si>
  <si>
    <t>G.Q11</t>
  </si>
  <si>
    <t xml:space="preserve">Awareness classes/camps for domestic energy consumers </t>
  </si>
  <si>
    <t>G.Q12</t>
  </si>
  <si>
    <t>Regularity  in conducting awareness classes/ camps for domestic energy consumers (in months)</t>
  </si>
  <si>
    <t>G.Q13</t>
  </si>
  <si>
    <t xml:space="preserve">Awareness classes/camps for RE suppliers </t>
  </si>
  <si>
    <t>G.Q14</t>
  </si>
  <si>
    <t xml:space="preserve">Regularity in conducting awareness classes/camps for RE suppliers </t>
  </si>
  <si>
    <t>IA3</t>
  </si>
  <si>
    <t>Demand assessment</t>
  </si>
  <si>
    <t>G.Q15</t>
  </si>
  <si>
    <t>Regular energy demand assessments for regions</t>
  </si>
  <si>
    <t>IA4</t>
  </si>
  <si>
    <t>Monitoring mechanisms</t>
  </si>
  <si>
    <t>G.Q16</t>
  </si>
  <si>
    <t>Documentation and quality assurance of domestic installations</t>
  </si>
  <si>
    <t>G.Q17</t>
  </si>
  <si>
    <t>Regularity in conducting quality monitoring for ongoing initiatives (in months)</t>
  </si>
  <si>
    <t>G.Q18</t>
  </si>
  <si>
    <t xml:space="preserve">Annual performance report of the ongoing schemes </t>
  </si>
  <si>
    <t>IA5</t>
  </si>
  <si>
    <t>Institutional coordination and collaboration</t>
  </si>
  <si>
    <t>G.Q19</t>
  </si>
  <si>
    <t>Stakeholder participation in progress assessment meetings</t>
  </si>
  <si>
    <t>G.Q20</t>
  </si>
  <si>
    <t>Regularity in conducting  progress assessment meetings (in months)</t>
  </si>
  <si>
    <t>G.Q21</t>
  </si>
  <si>
    <t>Transparent single window data-sharing platform</t>
  </si>
  <si>
    <t>G.Q22</t>
  </si>
  <si>
    <t>Designated Person of contact for each program ensuring accessibility for all stakeholders</t>
  </si>
  <si>
    <t>FSS1</t>
  </si>
  <si>
    <t>Financial support for renewable energy systems</t>
  </si>
  <si>
    <t>G.Q23</t>
  </si>
  <si>
    <t>Budget allocation specifically for RE infrastructure development</t>
  </si>
  <si>
    <t>FSS2</t>
  </si>
  <si>
    <t>Financial support for research and development in renewable energy sector</t>
  </si>
  <si>
    <t>G.Q24</t>
  </si>
  <si>
    <t>Budget allocation specifically for monitoring and maintenance of RE systems</t>
  </si>
  <si>
    <t>FSS3</t>
  </si>
  <si>
    <t>Financial support for monitoring and evaluation</t>
  </si>
  <si>
    <t>G.Q25</t>
  </si>
  <si>
    <t>Budget allocation specifically for research and development in the renewable energy sector</t>
  </si>
  <si>
    <t>FSS4</t>
  </si>
  <si>
    <t>Subsidy allocation</t>
  </si>
  <si>
    <t>G.Q26</t>
  </si>
  <si>
    <t>Subsidy allocation under specific RET schemes</t>
  </si>
  <si>
    <t xml:space="preserve">RE-RMI DOMAIN: MARKET CONDITIONS </t>
  </si>
  <si>
    <t>MC_Response Value</t>
  </si>
  <si>
    <t>SP1</t>
  </si>
  <si>
    <t>SP2</t>
  </si>
  <si>
    <t>SP3</t>
  </si>
  <si>
    <t>SP4</t>
  </si>
  <si>
    <t>SP5</t>
  </si>
  <si>
    <t>SP6</t>
  </si>
  <si>
    <t>SP7</t>
  </si>
  <si>
    <t>SP8</t>
  </si>
  <si>
    <t>SP9</t>
  </si>
  <si>
    <t>SP10</t>
  </si>
  <si>
    <t>SP11</t>
  </si>
  <si>
    <t>SP12</t>
  </si>
  <si>
    <t>SP13</t>
  </si>
  <si>
    <t>MC1</t>
  </si>
  <si>
    <t>State of demand</t>
  </si>
  <si>
    <t>M.Q1</t>
  </si>
  <si>
    <t>Existing state of RE demand in local markets</t>
  </si>
  <si>
    <t>MC2</t>
  </si>
  <si>
    <t>State of supply</t>
  </si>
  <si>
    <t>M.Q2</t>
  </si>
  <si>
    <t xml:space="preserve">Current state of RE supply in local markets </t>
  </si>
  <si>
    <t>M.Q3</t>
  </si>
  <si>
    <t>Regular delay in supply  procurement</t>
  </si>
  <si>
    <t>M.Q4</t>
  </si>
  <si>
    <t>Average time for installation from order reception</t>
  </si>
  <si>
    <t>M.Q5</t>
  </si>
  <si>
    <t>Advertisements by suppliers among target consumers</t>
  </si>
  <si>
    <t>MC3</t>
  </si>
  <si>
    <t>Supplier awareness</t>
  </si>
  <si>
    <t>M.Q6</t>
  </si>
  <si>
    <t>Suppliers awareness on the benefits of /need for RETs</t>
  </si>
  <si>
    <t>M.Q7</t>
  </si>
  <si>
    <t>Suppliers awareness on the government schemes</t>
  </si>
  <si>
    <t>M.Q8</t>
  </si>
  <si>
    <t>Suppliers awareness on government incentives and RE loans</t>
  </si>
  <si>
    <t>MC4</t>
  </si>
  <si>
    <t>Procedural reliability</t>
  </si>
  <si>
    <t>M.Q9</t>
  </si>
  <si>
    <t>Reliability of supplier authorization procedure mechanism</t>
  </si>
  <si>
    <t>M.Q10</t>
  </si>
  <si>
    <t>Promptness of payment guarantee mechanism</t>
  </si>
  <si>
    <t>M.Q11</t>
  </si>
  <si>
    <t>Previous experiences of payment delay from government</t>
  </si>
  <si>
    <t>M.Q12</t>
  </si>
  <si>
    <t xml:space="preserve">Transparency in current Payment guarantee mechanism </t>
  </si>
  <si>
    <t>M.Q13</t>
  </si>
  <si>
    <t>Provision for a single window data-sharing platform to ensure transparency</t>
  </si>
  <si>
    <t>M.Q14</t>
  </si>
  <si>
    <t>Provision for status inquiry while payment processing</t>
  </si>
  <si>
    <t>M.Q15</t>
  </si>
  <si>
    <t>Provision for customer care service for suppliers</t>
  </si>
  <si>
    <t>M.Q16</t>
  </si>
  <si>
    <t>Designated Person of contact for each program to ensure accessibility for all stakeholders</t>
  </si>
  <si>
    <t>MC5</t>
  </si>
  <si>
    <t>Operation and maintenance</t>
  </si>
  <si>
    <t>M.Q17</t>
  </si>
  <si>
    <t>Provision for aftersales service  by the supplier side</t>
  </si>
  <si>
    <t>M.Q18</t>
  </si>
  <si>
    <t>Provision for annual maintenance from suppliers</t>
  </si>
  <si>
    <t>M.Q19</t>
  </si>
  <si>
    <t>Effectiveness of skill development and training sessions from govt</t>
  </si>
  <si>
    <t>M.Q20</t>
  </si>
  <si>
    <t>Provision for customer care service provided by the supplier side</t>
  </si>
  <si>
    <t>RE-RMI DOMAIN: CONSUMER PERCEPTION</t>
  </si>
  <si>
    <t>CP(NP)_Response Value</t>
  </si>
  <si>
    <t>NP1</t>
  </si>
  <si>
    <t>NP2</t>
  </si>
  <si>
    <t>NP3</t>
  </si>
  <si>
    <t>NP4</t>
  </si>
  <si>
    <t>NP5</t>
  </si>
  <si>
    <t>NP6</t>
  </si>
  <si>
    <t>NP7</t>
  </si>
  <si>
    <t>NP8</t>
  </si>
  <si>
    <t>NP9</t>
  </si>
  <si>
    <t>NP10</t>
  </si>
  <si>
    <t>NP11</t>
  </si>
  <si>
    <t>NP12</t>
  </si>
  <si>
    <t>NP13</t>
  </si>
  <si>
    <t>NP14</t>
  </si>
  <si>
    <t>NP15</t>
  </si>
  <si>
    <t>NP16</t>
  </si>
  <si>
    <t>NP17</t>
  </si>
  <si>
    <t>NP18</t>
  </si>
  <si>
    <t>NP19</t>
  </si>
  <si>
    <t>NP20</t>
  </si>
  <si>
    <t>NP21</t>
  </si>
  <si>
    <t>NP22</t>
  </si>
  <si>
    <t>NP23</t>
  </si>
  <si>
    <t>NP24</t>
  </si>
  <si>
    <t>NP25</t>
  </si>
  <si>
    <t>NP26</t>
  </si>
  <si>
    <t>NP27</t>
  </si>
  <si>
    <t>NP28</t>
  </si>
  <si>
    <t>NP29</t>
  </si>
  <si>
    <t>NP30</t>
  </si>
  <si>
    <t>NP31</t>
  </si>
  <si>
    <t>NP32</t>
  </si>
  <si>
    <t>NP33</t>
  </si>
  <si>
    <t>NP34</t>
  </si>
  <si>
    <t>NP35</t>
  </si>
  <si>
    <t>NP36</t>
  </si>
  <si>
    <t>NP37</t>
  </si>
  <si>
    <t>NP38</t>
  </si>
  <si>
    <t>NP39</t>
  </si>
  <si>
    <t>NP40</t>
  </si>
  <si>
    <t>NP41</t>
  </si>
  <si>
    <t>NP42</t>
  </si>
  <si>
    <t>NP43</t>
  </si>
  <si>
    <t>NP44</t>
  </si>
  <si>
    <t>NP45</t>
  </si>
  <si>
    <t>NP46</t>
  </si>
  <si>
    <t>NP47</t>
  </si>
  <si>
    <t>NP48</t>
  </si>
  <si>
    <t>NP49</t>
  </si>
  <si>
    <t>NP50</t>
  </si>
  <si>
    <t>NP51</t>
  </si>
  <si>
    <t>NP52</t>
  </si>
  <si>
    <t>NP53</t>
  </si>
  <si>
    <t>NP54</t>
  </si>
  <si>
    <t>NP55</t>
  </si>
  <si>
    <t>NP56</t>
  </si>
  <si>
    <t>NP57</t>
  </si>
  <si>
    <t>NP58</t>
  </si>
  <si>
    <t>NP59</t>
  </si>
  <si>
    <t>NP60</t>
  </si>
  <si>
    <t>NP61</t>
  </si>
  <si>
    <t>NP62</t>
  </si>
  <si>
    <t>NP63</t>
  </si>
  <si>
    <t>NP64</t>
  </si>
  <si>
    <t>NP65</t>
  </si>
  <si>
    <t>NP66</t>
  </si>
  <si>
    <t>NP67</t>
  </si>
  <si>
    <t>NP68</t>
  </si>
  <si>
    <t>NP69</t>
  </si>
  <si>
    <t>NP70</t>
  </si>
  <si>
    <t>NP71</t>
  </si>
  <si>
    <t>NP72</t>
  </si>
  <si>
    <t>NP73</t>
  </si>
  <si>
    <t>NP74</t>
  </si>
  <si>
    <t>NP75</t>
  </si>
  <si>
    <t>NP76</t>
  </si>
  <si>
    <t>NP77</t>
  </si>
  <si>
    <t>NP78</t>
  </si>
  <si>
    <t>NP79</t>
  </si>
  <si>
    <t>NP80</t>
  </si>
  <si>
    <t>NP81</t>
  </si>
  <si>
    <t>NP82</t>
  </si>
  <si>
    <t>NP83</t>
  </si>
  <si>
    <t>NP84</t>
  </si>
  <si>
    <t>NP85</t>
  </si>
  <si>
    <t>NP86</t>
  </si>
  <si>
    <t>NP87</t>
  </si>
  <si>
    <t>NP88</t>
  </si>
  <si>
    <t>NP89</t>
  </si>
  <si>
    <t>NP90</t>
  </si>
  <si>
    <t>NP91</t>
  </si>
  <si>
    <t>NP92</t>
  </si>
  <si>
    <t>NP93</t>
  </si>
  <si>
    <t>NP94</t>
  </si>
  <si>
    <t>NP95</t>
  </si>
  <si>
    <t>NP96</t>
  </si>
  <si>
    <t>NP97</t>
  </si>
  <si>
    <t>NP98</t>
  </si>
  <si>
    <t>NP99</t>
  </si>
  <si>
    <t>NP100</t>
  </si>
  <si>
    <t>NP101</t>
  </si>
  <si>
    <t>NP102</t>
  </si>
  <si>
    <t>NP103</t>
  </si>
  <si>
    <t>NP104</t>
  </si>
  <si>
    <t>NP105</t>
  </si>
  <si>
    <t>NP106</t>
  </si>
  <si>
    <t>NP107</t>
  </si>
  <si>
    <t>NP108</t>
  </si>
  <si>
    <t>NP109</t>
  </si>
  <si>
    <t>NP110</t>
  </si>
  <si>
    <t>NP111</t>
  </si>
  <si>
    <t>NP112</t>
  </si>
  <si>
    <t>NP113</t>
  </si>
  <si>
    <t>NP114</t>
  </si>
  <si>
    <t>NP115</t>
  </si>
  <si>
    <t>NP116</t>
  </si>
  <si>
    <t>NP117</t>
  </si>
  <si>
    <t>NP118</t>
  </si>
  <si>
    <t>NP119</t>
  </si>
  <si>
    <t>NP120</t>
  </si>
  <si>
    <t>NP121</t>
  </si>
  <si>
    <t>NP122</t>
  </si>
  <si>
    <t>NP123</t>
  </si>
  <si>
    <t>NP124</t>
  </si>
  <si>
    <t>NP125</t>
  </si>
  <si>
    <t>NP126</t>
  </si>
  <si>
    <t>NP127</t>
  </si>
  <si>
    <t>NP128</t>
  </si>
  <si>
    <t>NP129</t>
  </si>
  <si>
    <t>NP130</t>
  </si>
  <si>
    <t>NP131</t>
  </si>
  <si>
    <t>NP132</t>
  </si>
  <si>
    <t>NP133</t>
  </si>
  <si>
    <t>NP134</t>
  </si>
  <si>
    <t>NP135</t>
  </si>
  <si>
    <t>NP136</t>
  </si>
  <si>
    <t>NP137</t>
  </si>
  <si>
    <t>NP138</t>
  </si>
  <si>
    <t>NP139</t>
  </si>
  <si>
    <t>NP140</t>
  </si>
  <si>
    <t>NP141</t>
  </si>
  <si>
    <t>NP142</t>
  </si>
  <si>
    <t>NP143</t>
  </si>
  <si>
    <t>NP144</t>
  </si>
  <si>
    <t>NP145</t>
  </si>
  <si>
    <t>NP146</t>
  </si>
  <si>
    <t>NP147</t>
  </si>
  <si>
    <t>NP148</t>
  </si>
  <si>
    <t>NP149</t>
  </si>
  <si>
    <t>NP150</t>
  </si>
  <si>
    <t>NP151</t>
  </si>
  <si>
    <t>NP152</t>
  </si>
  <si>
    <t>NP153</t>
  </si>
  <si>
    <t>NP154</t>
  </si>
  <si>
    <t>NP155</t>
  </si>
  <si>
    <t>NP156</t>
  </si>
  <si>
    <t>NP157</t>
  </si>
  <si>
    <t>NP158</t>
  </si>
  <si>
    <t>NP159</t>
  </si>
  <si>
    <t>NP160</t>
  </si>
  <si>
    <t>NP161</t>
  </si>
  <si>
    <t>NP162</t>
  </si>
  <si>
    <t>NP163</t>
  </si>
  <si>
    <t>NP164</t>
  </si>
  <si>
    <t>NP165</t>
  </si>
  <si>
    <t>NP166</t>
  </si>
  <si>
    <t>NP167</t>
  </si>
  <si>
    <t>NP168</t>
  </si>
  <si>
    <t>NP169</t>
  </si>
  <si>
    <t>NP170</t>
  </si>
  <si>
    <t>NP171</t>
  </si>
  <si>
    <t>NP172</t>
  </si>
  <si>
    <t>NP173</t>
  </si>
  <si>
    <t>NP174</t>
  </si>
  <si>
    <t>NP175</t>
  </si>
  <si>
    <t>NP176</t>
  </si>
  <si>
    <t>NP177</t>
  </si>
  <si>
    <t>NP178</t>
  </si>
  <si>
    <t>NP179</t>
  </si>
  <si>
    <t>NP180</t>
  </si>
  <si>
    <t>NP181</t>
  </si>
  <si>
    <t>NP182</t>
  </si>
  <si>
    <t>NP183</t>
  </si>
  <si>
    <t>NP184</t>
  </si>
  <si>
    <t>NP185</t>
  </si>
  <si>
    <t>NP186</t>
  </si>
  <si>
    <t>NP187</t>
  </si>
  <si>
    <t>NP188</t>
  </si>
  <si>
    <t>NP189</t>
  </si>
  <si>
    <t>NP190</t>
  </si>
  <si>
    <t>NP191</t>
  </si>
  <si>
    <t>NP192</t>
  </si>
  <si>
    <t>NP193</t>
  </si>
  <si>
    <t>NP194</t>
  </si>
  <si>
    <t>NP195</t>
  </si>
  <si>
    <t>NP196</t>
  </si>
  <si>
    <t>NP197</t>
  </si>
  <si>
    <t>NP198</t>
  </si>
  <si>
    <t>NP199</t>
  </si>
  <si>
    <t>NP200</t>
  </si>
  <si>
    <t>NP201</t>
  </si>
  <si>
    <t>NP202</t>
  </si>
  <si>
    <t>NP203</t>
  </si>
  <si>
    <t>NP204</t>
  </si>
  <si>
    <t>NP205</t>
  </si>
  <si>
    <t>NP206</t>
  </si>
  <si>
    <t>NP207</t>
  </si>
  <si>
    <t>NP208</t>
  </si>
  <si>
    <t>NP209</t>
  </si>
  <si>
    <t>NP210</t>
  </si>
  <si>
    <t>NP211</t>
  </si>
  <si>
    <t>NP212</t>
  </si>
  <si>
    <t>NP213</t>
  </si>
  <si>
    <t>NP214</t>
  </si>
  <si>
    <t>NP215</t>
  </si>
  <si>
    <t>NP216</t>
  </si>
  <si>
    <t>NP217</t>
  </si>
  <si>
    <t>NP218</t>
  </si>
  <si>
    <t>NP219</t>
  </si>
  <si>
    <t>NP220</t>
  </si>
  <si>
    <t>NP221</t>
  </si>
  <si>
    <t>NP222</t>
  </si>
  <si>
    <t>NP223</t>
  </si>
  <si>
    <t>NP224</t>
  </si>
  <si>
    <t>NP225</t>
  </si>
  <si>
    <t>NP226</t>
  </si>
  <si>
    <t>NP227</t>
  </si>
  <si>
    <t>NP228</t>
  </si>
  <si>
    <t>NP229</t>
  </si>
  <si>
    <t>NP230</t>
  </si>
  <si>
    <t>NP231</t>
  </si>
  <si>
    <t>NP232</t>
  </si>
  <si>
    <t>NP233</t>
  </si>
  <si>
    <t>NP234</t>
  </si>
  <si>
    <t>NP235</t>
  </si>
  <si>
    <t>NP236</t>
  </si>
  <si>
    <t>NP237</t>
  </si>
  <si>
    <t>NP238</t>
  </si>
  <si>
    <t>NP239</t>
  </si>
  <si>
    <t>NP240</t>
  </si>
  <si>
    <t>NP241</t>
  </si>
  <si>
    <t>NP242</t>
  </si>
  <si>
    <t>NP243</t>
  </si>
  <si>
    <t>NP244</t>
  </si>
  <si>
    <t>NP245</t>
  </si>
  <si>
    <t>NP246</t>
  </si>
  <si>
    <t>NP247</t>
  </si>
  <si>
    <t>NP248</t>
  </si>
  <si>
    <t>NP249</t>
  </si>
  <si>
    <t>NP250</t>
  </si>
  <si>
    <t>NP251</t>
  </si>
  <si>
    <t>NP252</t>
  </si>
  <si>
    <t>NP253</t>
  </si>
  <si>
    <t>NP254</t>
  </si>
  <si>
    <t>NP255</t>
  </si>
  <si>
    <t>NP256</t>
  </si>
  <si>
    <t>NP257</t>
  </si>
  <si>
    <t>NP258</t>
  </si>
  <si>
    <t>NP259</t>
  </si>
  <si>
    <t>NP260</t>
  </si>
  <si>
    <t>NP261</t>
  </si>
  <si>
    <t>NP262</t>
  </si>
  <si>
    <t>NP263</t>
  </si>
  <si>
    <t>NP264</t>
  </si>
  <si>
    <t>NP265</t>
  </si>
  <si>
    <t>NP266</t>
  </si>
  <si>
    <t>NP267</t>
  </si>
  <si>
    <t>NP268</t>
  </si>
  <si>
    <t>NP269</t>
  </si>
  <si>
    <t>NP270</t>
  </si>
  <si>
    <t>NP271</t>
  </si>
  <si>
    <t>NP272</t>
  </si>
  <si>
    <t>NP273</t>
  </si>
  <si>
    <t>NP274</t>
  </si>
  <si>
    <t>NP275</t>
  </si>
  <si>
    <t>NP276</t>
  </si>
  <si>
    <t>NP277</t>
  </si>
  <si>
    <t>NP278</t>
  </si>
  <si>
    <t>NP279</t>
  </si>
  <si>
    <t>NP280</t>
  </si>
  <si>
    <t>NP281</t>
  </si>
  <si>
    <t>NP282</t>
  </si>
  <si>
    <t>NP283</t>
  </si>
  <si>
    <t>NP284</t>
  </si>
  <si>
    <t>NP285</t>
  </si>
  <si>
    <t>NP286</t>
  </si>
  <si>
    <t>NP287</t>
  </si>
  <si>
    <t>NP288</t>
  </si>
  <si>
    <t>NP289</t>
  </si>
  <si>
    <t>NP290</t>
  </si>
  <si>
    <t>NP291</t>
  </si>
  <si>
    <t>NP292</t>
  </si>
  <si>
    <t>NP293</t>
  </si>
  <si>
    <t>NP294</t>
  </si>
  <si>
    <t>NP295</t>
  </si>
  <si>
    <t>NP296</t>
  </si>
  <si>
    <t>NP297</t>
  </si>
  <si>
    <t>NP298</t>
  </si>
  <si>
    <t>NP299</t>
  </si>
  <si>
    <t>NP300</t>
  </si>
  <si>
    <t>NP301</t>
  </si>
  <si>
    <t>NP302</t>
  </si>
  <si>
    <t>NP303</t>
  </si>
  <si>
    <t>NP304</t>
  </si>
  <si>
    <t>NP305</t>
  </si>
  <si>
    <t>NP306</t>
  </si>
  <si>
    <t>NP307</t>
  </si>
  <si>
    <t>NP308</t>
  </si>
  <si>
    <t>NP309</t>
  </si>
  <si>
    <t>NP310</t>
  </si>
  <si>
    <t>NP311</t>
  </si>
  <si>
    <t>NP312</t>
  </si>
  <si>
    <t>NP313</t>
  </si>
  <si>
    <t>NP314</t>
  </si>
  <si>
    <t>NP315</t>
  </si>
  <si>
    <t>NP316</t>
  </si>
  <si>
    <t>NP317</t>
  </si>
  <si>
    <t>NP318</t>
  </si>
  <si>
    <t>NP319</t>
  </si>
  <si>
    <t>NP320</t>
  </si>
  <si>
    <t>NP321</t>
  </si>
  <si>
    <t>NP322</t>
  </si>
  <si>
    <t>NP323</t>
  </si>
  <si>
    <t>NP324</t>
  </si>
  <si>
    <t>NP325</t>
  </si>
  <si>
    <t>NP326</t>
  </si>
  <si>
    <t>NP327</t>
  </si>
  <si>
    <t>NP328</t>
  </si>
  <si>
    <t>NP329</t>
  </si>
  <si>
    <t>NP330</t>
  </si>
  <si>
    <t>NP331</t>
  </si>
  <si>
    <t>NP332</t>
  </si>
  <si>
    <t>NP333</t>
  </si>
  <si>
    <t>NP334</t>
  </si>
  <si>
    <t>NP335</t>
  </si>
  <si>
    <t>NP336</t>
  </si>
  <si>
    <t>NP337</t>
  </si>
  <si>
    <t>NP338</t>
  </si>
  <si>
    <t>NP339</t>
  </si>
  <si>
    <t>NP340</t>
  </si>
  <si>
    <t>NP341</t>
  </si>
  <si>
    <t>NP342</t>
  </si>
  <si>
    <t>NP343</t>
  </si>
  <si>
    <t>NP344</t>
  </si>
  <si>
    <t>NP345</t>
  </si>
  <si>
    <t>NP346</t>
  </si>
  <si>
    <t>NP347</t>
  </si>
  <si>
    <t>NP348</t>
  </si>
  <si>
    <t>NP349</t>
  </si>
  <si>
    <t>NP350</t>
  </si>
  <si>
    <t>NP351</t>
  </si>
  <si>
    <t>NP352</t>
  </si>
  <si>
    <t>NP353</t>
  </si>
  <si>
    <t>NP354</t>
  </si>
  <si>
    <t>NP355</t>
  </si>
  <si>
    <t>NP356</t>
  </si>
  <si>
    <t>NP357</t>
  </si>
  <si>
    <t>NP358</t>
  </si>
  <si>
    <t>NP359</t>
  </si>
  <si>
    <t>NP360</t>
  </si>
  <si>
    <t>NP361</t>
  </si>
  <si>
    <t>NP362</t>
  </si>
  <si>
    <t>NP363</t>
  </si>
  <si>
    <t>NP364</t>
  </si>
  <si>
    <t>NP365</t>
  </si>
  <si>
    <t>NP366</t>
  </si>
  <si>
    <t>NP367</t>
  </si>
  <si>
    <t>NP368</t>
  </si>
  <si>
    <t>NP369</t>
  </si>
  <si>
    <t>NP370</t>
  </si>
  <si>
    <t>NP371</t>
  </si>
  <si>
    <t>ECP1</t>
  </si>
  <si>
    <t>Renewable energy access</t>
  </si>
  <si>
    <t>C.Q1</t>
  </si>
  <si>
    <t>Existing renewable energy prosumer for domestic use</t>
  </si>
  <si>
    <t>C.Q2</t>
  </si>
  <si>
    <t xml:space="preserve">RE supported appliances with at least 50% contribution to total energy usage </t>
  </si>
  <si>
    <t>SA1</t>
  </si>
  <si>
    <t>Environmental responsibility</t>
  </si>
  <si>
    <t>C.Q7</t>
  </si>
  <si>
    <t xml:space="preserve">Environmental consciousness in energy decision making	</t>
  </si>
  <si>
    <t>SA2</t>
  </si>
  <si>
    <t>Environmental education</t>
  </si>
  <si>
    <t>C.Q8</t>
  </si>
  <si>
    <t>Environmental education as part of academic curriculum/courses/camps</t>
  </si>
  <si>
    <t>SA3</t>
  </si>
  <si>
    <t>Consumer awareness economic and environmental benefits</t>
  </si>
  <si>
    <t>C.Q9</t>
  </si>
  <si>
    <t>Consumers awareness of economic and environmental benefits of RETs</t>
  </si>
  <si>
    <t>SA4</t>
  </si>
  <si>
    <t>Consumers awareness of  how to obtain and use RETs</t>
  </si>
  <si>
    <t>C.Q10</t>
  </si>
  <si>
    <t>SA5</t>
  </si>
  <si>
    <t>Consumers awareness of available financial assistance</t>
  </si>
  <si>
    <t>C.Q11</t>
  </si>
  <si>
    <t>Consumers awareness of available financial assistance to support RETs</t>
  </si>
  <si>
    <t>SA6</t>
  </si>
  <si>
    <t>Access to service providers</t>
  </si>
  <si>
    <t>C.Q12</t>
  </si>
  <si>
    <t>Access to RE distribution and installation companies</t>
  </si>
  <si>
    <t>EA1</t>
  </si>
  <si>
    <t>Affordability of capital cost</t>
  </si>
  <si>
    <t>C.Q19</t>
  </si>
  <si>
    <t xml:space="preserve">Affordability of the RET's capital cost </t>
  </si>
  <si>
    <t>EA2</t>
  </si>
  <si>
    <t>Affordability of renewable energy loans</t>
  </si>
  <si>
    <t>C.Q20</t>
  </si>
  <si>
    <t xml:space="preserve">Affordability of the RE loans </t>
  </si>
  <si>
    <t>EA3</t>
  </si>
  <si>
    <t>Adequacy of incentives</t>
  </si>
  <si>
    <t>C.Q21</t>
  </si>
  <si>
    <t>Adequacy of government incentives/subsidies</t>
  </si>
  <si>
    <t>EA4</t>
  </si>
  <si>
    <t>Certainty of energy costs</t>
  </si>
  <si>
    <t>C.Q22</t>
  </si>
  <si>
    <t>Consumers awareness of certainty of long-term energy costs</t>
  </si>
  <si>
    <t>EA5</t>
  </si>
  <si>
    <t>Certainty of Return of Investment</t>
  </si>
  <si>
    <t>C.Q23</t>
  </si>
  <si>
    <t>Consumers awareness of certainty of Return of Investment</t>
  </si>
  <si>
    <t>CP(LP)_Response Value</t>
  </si>
  <si>
    <t>LP1</t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</si>
  <si>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</si>
  <si>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</si>
  <si>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</si>
  <si>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</si>
  <si>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</si>
  <si>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</si>
  <si>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</si>
  <si>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</si>
  <si>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</si>
  <si>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</si>
  <si>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</si>
  <si>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</si>
  <si>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</si>
  <si>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</si>
  <si>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</si>
  <si>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</si>
  <si>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</si>
  <si>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</si>
  <si>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</si>
  <si>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</si>
  <si>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</si>
  <si>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LP23</t>
  </si>
  <si>
    <t>LP24</t>
  </si>
  <si>
    <t>LP25</t>
  </si>
  <si>
    <t xml:space="preserve">Existing RE prosumer </t>
  </si>
  <si>
    <t>C.Q3</t>
  </si>
  <si>
    <t>Household with RET connected storage facility</t>
  </si>
  <si>
    <t>ECP2</t>
  </si>
  <si>
    <t>Household energy consumption</t>
  </si>
  <si>
    <t>C.Q4</t>
  </si>
  <si>
    <t>Percentage contribution from RE Sources in annual household electricity consumption</t>
  </si>
  <si>
    <t>ECP3</t>
  </si>
  <si>
    <t>Annual energy expenditure</t>
  </si>
  <si>
    <t>C.Q5</t>
  </si>
  <si>
    <t>Percentage reduction in annual household electricity bill after RET installation</t>
  </si>
  <si>
    <t>ECP4</t>
  </si>
  <si>
    <t>Ability to sell energy</t>
  </si>
  <si>
    <t>C.Q6</t>
  </si>
  <si>
    <t>Household ablity to sell the generated electricity to the main grid</t>
  </si>
  <si>
    <t xml:space="preserve">Environmental consciousness in energy decision making		</t>
  </si>
  <si>
    <t>SA7</t>
  </si>
  <si>
    <t>Consumer satisfaction</t>
  </si>
  <si>
    <t>C.Q13</t>
  </si>
  <si>
    <t>Consumer satisfaction with RETs for domestic energy consumption</t>
  </si>
  <si>
    <t>C.Q14</t>
  </si>
  <si>
    <t>Consumer satisfaction  with the Supplier's service</t>
  </si>
  <si>
    <t>C.Q15</t>
  </si>
  <si>
    <t>Consumer satisfaction with customer service/ technical support post-installation, from suppliers</t>
  </si>
  <si>
    <t>C.Q16</t>
  </si>
  <si>
    <t>Consumer satisfaction with financial aid from Govt</t>
  </si>
  <si>
    <t>SA8</t>
  </si>
  <si>
    <t>Consumer willingness</t>
  </si>
  <si>
    <t>C.Q17</t>
  </si>
  <si>
    <t>Consumer willingness to recommend RETs to others</t>
  </si>
  <si>
    <t>C.Q18</t>
  </si>
  <si>
    <t>Consumer willingness to upgrade/ additional RETs for domestic use</t>
  </si>
  <si>
    <t>TA1</t>
  </si>
  <si>
    <t>Availability of infrastructure</t>
  </si>
  <si>
    <t>C.Q24</t>
  </si>
  <si>
    <t>Provision for availing supporting infrastructure</t>
  </si>
  <si>
    <t>TA2</t>
  </si>
  <si>
    <t>Quality assurance</t>
  </si>
  <si>
    <t>C.Q25</t>
  </si>
  <si>
    <t>Performance and maintenance documentation for quality assurance without fail</t>
  </si>
  <si>
    <t>TA3</t>
  </si>
  <si>
    <t>Technical support</t>
  </si>
  <si>
    <t>C.Q26</t>
  </si>
  <si>
    <t>Convenience of RETs for domestic usage, in terms of technical assistance and support</t>
  </si>
  <si>
    <t>TA4</t>
  </si>
  <si>
    <t xml:space="preserve"> User friendliness</t>
  </si>
  <si>
    <t>C.Q27</t>
  </si>
  <si>
    <t>Convenience of RETs for domestic usage, in terms of user-friendliness</t>
  </si>
  <si>
    <t>TA5</t>
  </si>
  <si>
    <t>e-Waste management</t>
  </si>
  <si>
    <t>C.Q28</t>
  </si>
  <si>
    <t>Provision for e-waste collection in the region</t>
  </si>
  <si>
    <t>C.Q29</t>
  </si>
  <si>
    <t>Provision for e-waste management in the region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</si>
</sst>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sz val="12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horizontal="right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0" fillId="0" fontId="6" numFmtId="0" xfId="0" applyAlignment="1" applyFont="1">
      <alignment shrinkToFit="0" vertical="center" wrapText="1"/>
    </xf>
    <xf borderId="0" fillId="0" fontId="3" numFmtId="0" xfId="0" applyAlignment="1" applyFont="1">
      <alignment horizontal="left" vertical="center"/>
    </xf>
    <xf borderId="0" fillId="0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86"/>
    <col customWidth="1" min="3" max="3" width="10.71"/>
    <col customWidth="1" min="4" max="4" width="61.29"/>
    <col customWidth="1" min="5" max="5" width="17.29"/>
    <col customWidth="1" min="6" max="6" width="19.57"/>
    <col customWidth="1" min="7" max="26" width="8.71"/>
  </cols>
  <sheetData>
    <row r="1" ht="13.5" customHeight="1">
      <c r="A1" s="1" t="s">
        <v>0</v>
      </c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4" t="s">
        <v>1</v>
      </c>
      <c r="D2" s="5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1.2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7" t="s">
        <v>8</v>
      </c>
      <c r="B4" s="8" t="s">
        <v>9</v>
      </c>
      <c r="C4" s="9" t="s">
        <v>10</v>
      </c>
      <c r="D4" s="10" t="s">
        <v>11</v>
      </c>
      <c r="E4" s="2" t="s">
        <v>12</v>
      </c>
      <c r="F4" s="2">
        <f t="shared" ref="F4:F12" si="1">IF(E4="YES", 1, 0)</f>
        <v>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7" t="s">
        <v>13</v>
      </c>
      <c r="B5" s="8" t="s">
        <v>14</v>
      </c>
      <c r="C5" s="9" t="s">
        <v>15</v>
      </c>
      <c r="D5" s="11" t="s">
        <v>16</v>
      </c>
      <c r="E5" s="2" t="s">
        <v>12</v>
      </c>
      <c r="F5" s="2">
        <f t="shared" si="1"/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C6" s="9" t="s">
        <v>17</v>
      </c>
      <c r="D6" s="12" t="s">
        <v>18</v>
      </c>
      <c r="E6" s="2" t="s">
        <v>12</v>
      </c>
      <c r="F6" s="2">
        <f t="shared" si="1"/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7" t="s">
        <v>19</v>
      </c>
      <c r="B7" s="8" t="s">
        <v>20</v>
      </c>
      <c r="C7" s="9" t="s">
        <v>21</v>
      </c>
      <c r="D7" s="10" t="s">
        <v>22</v>
      </c>
      <c r="E7" s="2" t="s">
        <v>12</v>
      </c>
      <c r="F7" s="2">
        <f t="shared" si="1"/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7" t="s">
        <v>23</v>
      </c>
      <c r="B8" s="8" t="s">
        <v>24</v>
      </c>
      <c r="C8" s="9" t="s">
        <v>25</v>
      </c>
      <c r="D8" s="10" t="s">
        <v>26</v>
      </c>
      <c r="E8" s="2" t="s">
        <v>12</v>
      </c>
      <c r="F8" s="2">
        <f t="shared" si="1"/>
        <v>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7.0" customHeight="1">
      <c r="A9" s="7" t="s">
        <v>27</v>
      </c>
      <c r="B9" s="8" t="s">
        <v>28</v>
      </c>
      <c r="C9" s="9" t="s">
        <v>29</v>
      </c>
      <c r="D9" s="10" t="s">
        <v>30</v>
      </c>
      <c r="E9" s="2" t="s">
        <v>12</v>
      </c>
      <c r="F9" s="2">
        <f t="shared" si="1"/>
        <v>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C10" s="9" t="s">
        <v>31</v>
      </c>
      <c r="D10" s="10" t="s">
        <v>32</v>
      </c>
      <c r="E10" s="2" t="s">
        <v>12</v>
      </c>
      <c r="F10" s="2">
        <f t="shared" si="1"/>
        <v>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7" t="s">
        <v>33</v>
      </c>
      <c r="B11" s="10" t="s">
        <v>34</v>
      </c>
      <c r="C11" s="9" t="s">
        <v>35</v>
      </c>
      <c r="D11" s="10" t="s">
        <v>36</v>
      </c>
      <c r="E11" s="2" t="s">
        <v>12</v>
      </c>
      <c r="F11" s="2">
        <f t="shared" si="1"/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7" t="s">
        <v>37</v>
      </c>
      <c r="B12" s="13" t="s">
        <v>38</v>
      </c>
      <c r="C12" s="9" t="s">
        <v>39</v>
      </c>
      <c r="D12" s="10" t="s">
        <v>40</v>
      </c>
      <c r="E12" s="2" t="s">
        <v>12</v>
      </c>
      <c r="F12" s="2">
        <f t="shared" si="1"/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C13" s="9" t="s">
        <v>41</v>
      </c>
      <c r="D13" s="10" t="s">
        <v>42</v>
      </c>
      <c r="E13" s="2" t="s">
        <v>43</v>
      </c>
      <c r="F13" s="2">
        <f>IF(E13 &gt;= 7, 0, IF(E13 &lt;= 3, 1, (7 - E13) / 4))</f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C14" s="9" t="s">
        <v>44</v>
      </c>
      <c r="D14" s="10" t="s">
        <v>45</v>
      </c>
      <c r="E14" s="2" t="s">
        <v>12</v>
      </c>
      <c r="F14" s="2">
        <f>IF(E14="YES", 1, 0)</f>
        <v>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C15" s="9" t="s">
        <v>46</v>
      </c>
      <c r="D15" s="10" t="s">
        <v>47</v>
      </c>
      <c r="E15" s="2" t="s">
        <v>43</v>
      </c>
      <c r="F15" s="2">
        <f>IF(E15 &gt;= 7, 0, IF(E15 &lt;= 3, 1, (7 - E15) / 4))</f>
        <v>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C16" s="9" t="s">
        <v>48</v>
      </c>
      <c r="D16" s="10" t="s">
        <v>49</v>
      </c>
      <c r="E16" s="2" t="s">
        <v>12</v>
      </c>
      <c r="F16" s="2">
        <f>IF(E16="YES", 1, 0)</f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C17" s="9" t="s">
        <v>50</v>
      </c>
      <c r="D17" s="10" t="s">
        <v>51</v>
      </c>
      <c r="E17" s="2" t="s">
        <v>43</v>
      </c>
      <c r="F17" s="2">
        <f>IF(E17 &gt;= 7, 0, IF(E17 &lt;= 3, 1, (7 - E17) / 4))</f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7" t="s">
        <v>52</v>
      </c>
      <c r="B18" s="10" t="s">
        <v>53</v>
      </c>
      <c r="C18" s="9" t="s">
        <v>54</v>
      </c>
      <c r="D18" s="10" t="s">
        <v>55</v>
      </c>
      <c r="E18" s="2" t="s">
        <v>12</v>
      </c>
      <c r="F18" s="2">
        <f t="shared" ref="F18:F19" si="2">IF(E18="YES", 1, 0)</f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7.75" customHeight="1">
      <c r="A19" s="7" t="s">
        <v>56</v>
      </c>
      <c r="B19" s="13" t="s">
        <v>57</v>
      </c>
      <c r="C19" s="9" t="s">
        <v>58</v>
      </c>
      <c r="D19" s="10" t="s">
        <v>59</v>
      </c>
      <c r="E19" s="2" t="s">
        <v>12</v>
      </c>
      <c r="F19" s="2">
        <f t="shared" si="2"/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C20" s="9" t="s">
        <v>60</v>
      </c>
      <c r="D20" s="10" t="s">
        <v>61</v>
      </c>
      <c r="E20" s="2" t="s">
        <v>43</v>
      </c>
      <c r="F20" s="2">
        <f>IF(E20 &gt;= 7, 0, IF(E20 &lt;= 3, 1, (7 - E20) / 4))</f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C21" s="9" t="s">
        <v>62</v>
      </c>
      <c r="D21" s="10" t="s">
        <v>63</v>
      </c>
      <c r="E21" s="2" t="s">
        <v>12</v>
      </c>
      <c r="F21" s="2">
        <f t="shared" ref="F21:F22" si="3">IF(E21="YES", 1, 0)</f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7.0" customHeight="1">
      <c r="A22" s="7" t="s">
        <v>64</v>
      </c>
      <c r="B22" s="13" t="s">
        <v>65</v>
      </c>
      <c r="C22" s="9" t="s">
        <v>66</v>
      </c>
      <c r="D22" s="10" t="s">
        <v>67</v>
      </c>
      <c r="E22" s="2" t="s">
        <v>12</v>
      </c>
      <c r="F22" s="2">
        <f t="shared" si="3"/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C23" s="9" t="s">
        <v>68</v>
      </c>
      <c r="D23" s="10" t="s">
        <v>69</v>
      </c>
      <c r="E23" s="2" t="s">
        <v>43</v>
      </c>
      <c r="F23" s="2">
        <f>IF(E23 &gt;= 13, 0, IF(E23 &lt;= 6, 1, (13 - E23) / 7))</f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C24" s="9" t="s">
        <v>70</v>
      </c>
      <c r="D24" s="10" t="s">
        <v>71</v>
      </c>
      <c r="E24" s="2" t="s">
        <v>12</v>
      </c>
      <c r="F24" s="2">
        <f t="shared" ref="F24:F29" si="4">IF(E24="YES", 1, 0)</f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C25" s="9" t="s">
        <v>72</v>
      </c>
      <c r="D25" s="10" t="s">
        <v>73</v>
      </c>
      <c r="E25" s="2" t="s">
        <v>12</v>
      </c>
      <c r="F25" s="2">
        <f t="shared" si="4"/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7.75" customHeight="1">
      <c r="A26" s="7" t="s">
        <v>74</v>
      </c>
      <c r="B26" s="10" t="s">
        <v>75</v>
      </c>
      <c r="C26" s="9" t="s">
        <v>76</v>
      </c>
      <c r="D26" s="10" t="s">
        <v>77</v>
      </c>
      <c r="E26" s="2" t="s">
        <v>12</v>
      </c>
      <c r="F26" s="2">
        <f t="shared" si="4"/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7" t="s">
        <v>78</v>
      </c>
      <c r="B27" s="10" t="s">
        <v>79</v>
      </c>
      <c r="C27" s="9" t="s">
        <v>80</v>
      </c>
      <c r="D27" s="10" t="s">
        <v>81</v>
      </c>
      <c r="E27" s="2" t="s">
        <v>12</v>
      </c>
      <c r="F27" s="2">
        <f t="shared" si="4"/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7" t="s">
        <v>82</v>
      </c>
      <c r="B28" s="10" t="s">
        <v>83</v>
      </c>
      <c r="C28" s="9" t="s">
        <v>84</v>
      </c>
      <c r="D28" s="10" t="s">
        <v>85</v>
      </c>
      <c r="E28" s="2" t="s">
        <v>12</v>
      </c>
      <c r="F28" s="2">
        <f t="shared" si="4"/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7" t="s">
        <v>86</v>
      </c>
      <c r="B29" s="10" t="s">
        <v>87</v>
      </c>
      <c r="C29" s="9" t="s">
        <v>88</v>
      </c>
      <c r="D29" s="10" t="s">
        <v>89</v>
      </c>
      <c r="E29" s="2" t="s">
        <v>12</v>
      </c>
      <c r="F29" s="2">
        <f t="shared" si="4"/>
        <v>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7"/>
      <c r="B30" s="14"/>
      <c r="C30" s="3"/>
      <c r="D30" s="10"/>
      <c r="E30" s="2"/>
      <c r="F30" s="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7"/>
      <c r="B31" s="14"/>
      <c r="C31" s="3"/>
      <c r="D31" s="10"/>
      <c r="E31" s="2"/>
      <c r="F31" s="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7"/>
      <c r="B32" s="14"/>
      <c r="C32" s="3"/>
      <c r="D32" s="10"/>
      <c r="E32" s="2"/>
      <c r="F32" s="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7"/>
      <c r="B33" s="14"/>
      <c r="C33" s="3"/>
      <c r="D33" s="10"/>
      <c r="E33" s="2"/>
      <c r="F33" s="2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7"/>
      <c r="B34" s="14"/>
      <c r="C34" s="3"/>
      <c r="D34" s="10"/>
      <c r="E34" s="2"/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7"/>
      <c r="B35" s="14"/>
      <c r="C35" s="3"/>
      <c r="D35" s="10"/>
      <c r="E35" s="2"/>
      <c r="F35" s="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7"/>
      <c r="B36" s="14"/>
      <c r="C36" s="3"/>
      <c r="D36" s="10"/>
      <c r="E36" s="2"/>
      <c r="F36" s="2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7"/>
      <c r="B37" s="14"/>
      <c r="C37" s="3"/>
      <c r="D37" s="10"/>
      <c r="E37" s="2"/>
      <c r="F37" s="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7"/>
      <c r="B38" s="14"/>
      <c r="C38" s="3"/>
      <c r="D38" s="10"/>
      <c r="E38" s="2"/>
      <c r="F38" s="2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7"/>
      <c r="B39" s="14"/>
      <c r="C39" s="3"/>
      <c r="D39" s="10"/>
      <c r="E39" s="2"/>
      <c r="F39" s="2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7"/>
      <c r="B40" s="14"/>
      <c r="C40" s="3"/>
      <c r="D40" s="10"/>
      <c r="E40" s="2"/>
      <c r="F40" s="2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7"/>
      <c r="B41" s="14"/>
      <c r="C41" s="3"/>
      <c r="D41" s="10"/>
      <c r="E41" s="2"/>
      <c r="F41" s="2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7"/>
      <c r="B42" s="14"/>
      <c r="C42" s="3"/>
      <c r="D42" s="10"/>
      <c r="E42" s="2"/>
      <c r="F42" s="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7"/>
      <c r="B43" s="14"/>
      <c r="C43" s="3"/>
      <c r="D43" s="10"/>
      <c r="E43" s="2"/>
      <c r="F43" s="2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7"/>
      <c r="B44" s="14"/>
      <c r="C44" s="3"/>
      <c r="D44" s="10"/>
      <c r="E44" s="2"/>
      <c r="F44" s="2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7"/>
      <c r="B45" s="14"/>
      <c r="C45" s="3"/>
      <c r="D45" s="10"/>
      <c r="E45" s="2"/>
      <c r="F45" s="2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7"/>
      <c r="B46" s="14"/>
      <c r="C46" s="3"/>
      <c r="D46" s="10"/>
      <c r="E46" s="2"/>
      <c r="F46" s="2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7"/>
      <c r="B47" s="14"/>
      <c r="C47" s="3"/>
      <c r="D47" s="10"/>
      <c r="E47" s="2"/>
      <c r="F47" s="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7"/>
      <c r="B48" s="14"/>
      <c r="C48" s="3"/>
      <c r="D48" s="10"/>
      <c r="E48" s="2"/>
      <c r="F48" s="2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7"/>
      <c r="B49" s="14"/>
      <c r="C49" s="3"/>
      <c r="D49" s="10"/>
      <c r="E49" s="2"/>
      <c r="F49" s="2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7"/>
      <c r="B50" s="14"/>
      <c r="C50" s="3"/>
      <c r="D50" s="10"/>
      <c r="E50" s="2"/>
      <c r="F50" s="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7"/>
      <c r="B51" s="14"/>
      <c r="C51" s="3"/>
      <c r="D51" s="10"/>
      <c r="E51" s="2"/>
      <c r="F51" s="2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7"/>
      <c r="B52" s="14"/>
      <c r="C52" s="3"/>
      <c r="D52" s="10"/>
      <c r="E52" s="2"/>
      <c r="F52" s="2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7"/>
      <c r="B53" s="14"/>
      <c r="C53" s="3"/>
      <c r="D53" s="10"/>
      <c r="E53" s="2"/>
      <c r="F53" s="2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7"/>
      <c r="B54" s="14"/>
      <c r="C54" s="3"/>
      <c r="D54" s="10"/>
      <c r="E54" s="2"/>
      <c r="F54" s="2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7"/>
      <c r="B55" s="14"/>
      <c r="C55" s="3"/>
      <c r="D55" s="10"/>
      <c r="E55" s="2"/>
      <c r="F55" s="2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7"/>
      <c r="B56" s="14"/>
      <c r="C56" s="3"/>
      <c r="D56" s="10"/>
      <c r="E56" s="2"/>
      <c r="F56" s="2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7"/>
      <c r="B57" s="14"/>
      <c r="C57" s="3"/>
      <c r="D57" s="10"/>
      <c r="E57" s="2"/>
      <c r="F57" s="2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7"/>
      <c r="B58" s="14"/>
      <c r="C58" s="3"/>
      <c r="D58" s="10"/>
      <c r="E58" s="2"/>
      <c r="F58" s="2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7"/>
      <c r="B59" s="14"/>
      <c r="C59" s="3"/>
      <c r="D59" s="10"/>
      <c r="E59" s="2"/>
      <c r="F59" s="2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7"/>
      <c r="B60" s="14"/>
      <c r="C60" s="3"/>
      <c r="D60" s="10"/>
      <c r="E60" s="2"/>
      <c r="F60" s="2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7"/>
      <c r="B61" s="14"/>
      <c r="C61" s="3"/>
      <c r="D61" s="10"/>
      <c r="E61" s="2"/>
      <c r="F61" s="2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7"/>
      <c r="B62" s="14"/>
      <c r="C62" s="3"/>
      <c r="D62" s="10"/>
      <c r="E62" s="2"/>
      <c r="F62" s="2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7"/>
      <c r="B63" s="14"/>
      <c r="C63" s="3"/>
      <c r="D63" s="10"/>
      <c r="E63" s="2"/>
      <c r="F63" s="2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7"/>
      <c r="B64" s="14"/>
      <c r="C64" s="3"/>
      <c r="D64" s="10"/>
      <c r="E64" s="2"/>
      <c r="F64" s="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7"/>
      <c r="B65" s="14"/>
      <c r="C65" s="3"/>
      <c r="D65" s="10"/>
      <c r="E65" s="2"/>
      <c r="F65" s="2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7"/>
      <c r="B66" s="14"/>
      <c r="C66" s="3"/>
      <c r="D66" s="10"/>
      <c r="E66" s="2"/>
      <c r="F66" s="2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7"/>
      <c r="B67" s="14"/>
      <c r="C67" s="3"/>
      <c r="D67" s="10"/>
      <c r="E67" s="2"/>
      <c r="F67" s="2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7"/>
      <c r="B68" s="14"/>
      <c r="C68" s="3"/>
      <c r="D68" s="10"/>
      <c r="E68" s="2"/>
      <c r="F68" s="2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7"/>
      <c r="B69" s="14"/>
      <c r="C69" s="3"/>
      <c r="D69" s="10"/>
      <c r="E69" s="2"/>
      <c r="F69" s="2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7"/>
      <c r="B70" s="14"/>
      <c r="C70" s="3"/>
      <c r="D70" s="10"/>
      <c r="E70" s="2"/>
      <c r="F70" s="2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7"/>
      <c r="B71" s="14"/>
      <c r="C71" s="3"/>
      <c r="D71" s="10"/>
      <c r="E71" s="2"/>
      <c r="F71" s="2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7"/>
      <c r="B72" s="14"/>
      <c r="C72" s="3"/>
      <c r="D72" s="10"/>
      <c r="E72" s="2"/>
      <c r="F72" s="2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7"/>
      <c r="B73" s="14"/>
      <c r="C73" s="3"/>
      <c r="D73" s="10"/>
      <c r="E73" s="2"/>
      <c r="F73" s="2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7"/>
      <c r="B74" s="14"/>
      <c r="C74" s="3"/>
      <c r="D74" s="10"/>
      <c r="E74" s="2"/>
      <c r="F74" s="2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7"/>
      <c r="B75" s="14"/>
      <c r="C75" s="3"/>
      <c r="D75" s="10"/>
      <c r="E75" s="2"/>
      <c r="F75" s="2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7"/>
      <c r="B76" s="14"/>
      <c r="C76" s="3"/>
      <c r="D76" s="10"/>
      <c r="E76" s="2"/>
      <c r="F76" s="2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7"/>
      <c r="B77" s="14"/>
      <c r="C77" s="3"/>
      <c r="D77" s="10"/>
      <c r="E77" s="2"/>
      <c r="F77" s="2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7"/>
      <c r="B78" s="14"/>
      <c r="C78" s="3"/>
      <c r="D78" s="10"/>
      <c r="E78" s="2"/>
      <c r="F78" s="2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7"/>
      <c r="B79" s="14"/>
      <c r="C79" s="3"/>
      <c r="D79" s="10"/>
      <c r="E79" s="2"/>
      <c r="F79" s="2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7"/>
      <c r="B80" s="14"/>
      <c r="C80" s="3"/>
      <c r="D80" s="10"/>
      <c r="E80" s="2"/>
      <c r="F80" s="2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7"/>
      <c r="B81" s="14"/>
      <c r="C81" s="3"/>
      <c r="D81" s="10"/>
      <c r="E81" s="2"/>
      <c r="F81" s="2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7"/>
      <c r="B82" s="14"/>
      <c r="C82" s="3"/>
      <c r="D82" s="10"/>
      <c r="E82" s="2"/>
      <c r="F82" s="2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7"/>
      <c r="B83" s="14"/>
      <c r="C83" s="3"/>
      <c r="D83" s="10"/>
      <c r="E83" s="2"/>
      <c r="F83" s="2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7"/>
      <c r="B84" s="14"/>
      <c r="C84" s="3"/>
      <c r="D84" s="10"/>
      <c r="E84" s="2"/>
      <c r="F84" s="2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7"/>
      <c r="B85" s="14"/>
      <c r="C85" s="3"/>
      <c r="D85" s="10"/>
      <c r="E85" s="2"/>
      <c r="F85" s="2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7"/>
      <c r="B86" s="14"/>
      <c r="C86" s="3"/>
      <c r="D86" s="10"/>
      <c r="E86" s="2"/>
      <c r="F86" s="2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7"/>
      <c r="B87" s="14"/>
      <c r="C87" s="3"/>
      <c r="D87" s="10"/>
      <c r="E87" s="2"/>
      <c r="F87" s="2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7"/>
      <c r="B88" s="14"/>
      <c r="C88" s="3"/>
      <c r="D88" s="10"/>
      <c r="E88" s="2"/>
      <c r="F88" s="2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7"/>
      <c r="B89" s="14"/>
      <c r="C89" s="3"/>
      <c r="D89" s="10"/>
      <c r="E89" s="2"/>
      <c r="F89" s="2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7"/>
      <c r="B90" s="14"/>
      <c r="C90" s="3"/>
      <c r="D90" s="10"/>
      <c r="E90" s="2"/>
      <c r="F90" s="2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7"/>
      <c r="B91" s="14"/>
      <c r="C91" s="3"/>
      <c r="D91" s="10"/>
      <c r="E91" s="2"/>
      <c r="F91" s="2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7"/>
      <c r="B92" s="14"/>
      <c r="C92" s="3"/>
      <c r="D92" s="10"/>
      <c r="E92" s="2"/>
      <c r="F92" s="2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7"/>
      <c r="B93" s="14"/>
      <c r="C93" s="3"/>
      <c r="D93" s="10"/>
      <c r="E93" s="2"/>
      <c r="F93" s="2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7"/>
      <c r="B94" s="14"/>
      <c r="C94" s="3"/>
      <c r="D94" s="10"/>
      <c r="E94" s="2"/>
      <c r="F94" s="2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7"/>
      <c r="B95" s="14"/>
      <c r="C95" s="3"/>
      <c r="D95" s="10"/>
      <c r="E95" s="2"/>
      <c r="F95" s="2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7"/>
      <c r="B96" s="14"/>
      <c r="C96" s="3"/>
      <c r="D96" s="10"/>
      <c r="E96" s="2"/>
      <c r="F96" s="2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7"/>
      <c r="B97" s="14"/>
      <c r="C97" s="3"/>
      <c r="D97" s="10"/>
      <c r="E97" s="2"/>
      <c r="F97" s="2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7"/>
      <c r="B98" s="14"/>
      <c r="C98" s="3"/>
      <c r="D98" s="10"/>
      <c r="E98" s="2"/>
      <c r="F98" s="2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7"/>
      <c r="B99" s="14"/>
      <c r="C99" s="3"/>
      <c r="D99" s="10"/>
      <c r="E99" s="2"/>
      <c r="F99" s="2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7"/>
      <c r="B100" s="14"/>
      <c r="C100" s="3"/>
      <c r="D100" s="10"/>
      <c r="E100" s="2"/>
      <c r="F100" s="2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7"/>
      <c r="B101" s="14"/>
      <c r="C101" s="3"/>
      <c r="D101" s="10"/>
      <c r="E101" s="2"/>
      <c r="F101" s="2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7"/>
      <c r="B102" s="14"/>
      <c r="C102" s="3"/>
      <c r="D102" s="10"/>
      <c r="E102" s="2"/>
      <c r="F102" s="2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7"/>
      <c r="B103" s="14"/>
      <c r="C103" s="3"/>
      <c r="D103" s="10"/>
      <c r="E103" s="2"/>
      <c r="F103" s="2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7"/>
      <c r="B104" s="14"/>
      <c r="C104" s="3"/>
      <c r="D104" s="10"/>
      <c r="E104" s="2"/>
      <c r="F104" s="2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7"/>
      <c r="B105" s="14"/>
      <c r="C105" s="3"/>
      <c r="D105" s="10"/>
      <c r="E105" s="2"/>
      <c r="F105" s="2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7"/>
      <c r="B106" s="14"/>
      <c r="C106" s="3"/>
      <c r="D106" s="10"/>
      <c r="E106" s="2"/>
      <c r="F106" s="2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7"/>
      <c r="B107" s="14"/>
      <c r="C107" s="3"/>
      <c r="D107" s="10"/>
      <c r="E107" s="2"/>
      <c r="F107" s="2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7"/>
      <c r="B108" s="14"/>
      <c r="C108" s="3"/>
      <c r="D108" s="10"/>
      <c r="E108" s="2"/>
      <c r="F108" s="2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7"/>
      <c r="B109" s="14"/>
      <c r="C109" s="3"/>
      <c r="D109" s="10"/>
      <c r="E109" s="2"/>
      <c r="F109" s="2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7"/>
      <c r="B110" s="14"/>
      <c r="C110" s="3"/>
      <c r="D110" s="10"/>
      <c r="E110" s="2"/>
      <c r="F110" s="2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7"/>
      <c r="B111" s="14"/>
      <c r="C111" s="3"/>
      <c r="D111" s="10"/>
      <c r="E111" s="2"/>
      <c r="F111" s="2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7"/>
      <c r="B112" s="14"/>
      <c r="C112" s="3"/>
      <c r="D112" s="10"/>
      <c r="E112" s="2"/>
      <c r="F112" s="2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7"/>
      <c r="B113" s="14"/>
      <c r="C113" s="3"/>
      <c r="D113" s="10"/>
      <c r="E113" s="2"/>
      <c r="F113" s="2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7"/>
      <c r="B114" s="14"/>
      <c r="C114" s="3"/>
      <c r="D114" s="10"/>
      <c r="E114" s="2"/>
      <c r="F114" s="2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7"/>
      <c r="B115" s="14"/>
      <c r="C115" s="3"/>
      <c r="D115" s="10"/>
      <c r="E115" s="2"/>
      <c r="F115" s="2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7"/>
      <c r="B116" s="14"/>
      <c r="C116" s="3"/>
      <c r="D116" s="10"/>
      <c r="E116" s="2"/>
      <c r="F116" s="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7"/>
      <c r="B117" s="14"/>
      <c r="C117" s="3"/>
      <c r="D117" s="10"/>
      <c r="E117" s="2"/>
      <c r="F117" s="2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7"/>
      <c r="B118" s="14"/>
      <c r="C118" s="3"/>
      <c r="D118" s="10"/>
      <c r="E118" s="2"/>
      <c r="F118" s="2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7"/>
      <c r="B119" s="14"/>
      <c r="C119" s="3"/>
      <c r="D119" s="10"/>
      <c r="E119" s="2"/>
      <c r="F119" s="2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7"/>
      <c r="B120" s="14"/>
      <c r="C120" s="3"/>
      <c r="D120" s="10"/>
      <c r="E120" s="2"/>
      <c r="F120" s="2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7"/>
      <c r="B121" s="14"/>
      <c r="C121" s="3"/>
      <c r="D121" s="10"/>
      <c r="E121" s="2"/>
      <c r="F121" s="2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7"/>
      <c r="B122" s="14"/>
      <c r="C122" s="3"/>
      <c r="D122" s="10"/>
      <c r="E122" s="2"/>
      <c r="F122" s="2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7"/>
      <c r="B123" s="14"/>
      <c r="C123" s="3"/>
      <c r="D123" s="10"/>
      <c r="E123" s="2"/>
      <c r="F123" s="2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7"/>
      <c r="B124" s="14"/>
      <c r="C124" s="3"/>
      <c r="D124" s="10"/>
      <c r="E124" s="2"/>
      <c r="F124" s="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7"/>
      <c r="B125" s="14"/>
      <c r="C125" s="3"/>
      <c r="D125" s="10"/>
      <c r="E125" s="2"/>
      <c r="F125" s="2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7"/>
      <c r="B126" s="14"/>
      <c r="C126" s="3"/>
      <c r="D126" s="10"/>
      <c r="E126" s="2"/>
      <c r="F126" s="2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7"/>
      <c r="B127" s="14"/>
      <c r="C127" s="3"/>
      <c r="D127" s="10"/>
      <c r="E127" s="2"/>
      <c r="F127" s="2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7"/>
      <c r="B128" s="14"/>
      <c r="C128" s="3"/>
      <c r="D128" s="10"/>
      <c r="E128" s="2"/>
      <c r="F128" s="2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7"/>
      <c r="B129" s="14"/>
      <c r="C129" s="3"/>
      <c r="D129" s="10"/>
      <c r="E129" s="2"/>
      <c r="F129" s="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7"/>
      <c r="B130" s="14"/>
      <c r="C130" s="3"/>
      <c r="D130" s="10"/>
      <c r="E130" s="2"/>
      <c r="F130" s="2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7"/>
      <c r="B131" s="14"/>
      <c r="C131" s="3"/>
      <c r="D131" s="10"/>
      <c r="E131" s="2"/>
      <c r="F131" s="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7"/>
      <c r="B132" s="14"/>
      <c r="C132" s="3"/>
      <c r="D132" s="10"/>
      <c r="E132" s="2"/>
      <c r="F132" s="2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7"/>
      <c r="B133" s="14"/>
      <c r="C133" s="3"/>
      <c r="D133" s="10"/>
      <c r="E133" s="2"/>
      <c r="F133" s="2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7"/>
      <c r="B134" s="14"/>
      <c r="C134" s="3"/>
      <c r="D134" s="10"/>
      <c r="E134" s="2"/>
      <c r="F134" s="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7"/>
      <c r="B135" s="14"/>
      <c r="C135" s="3"/>
      <c r="D135" s="10"/>
      <c r="E135" s="2"/>
      <c r="F135" s="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7"/>
      <c r="B136" s="14"/>
      <c r="C136" s="3"/>
      <c r="D136" s="10"/>
      <c r="E136" s="2"/>
      <c r="F136" s="2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7"/>
      <c r="B137" s="14"/>
      <c r="C137" s="3"/>
      <c r="D137" s="10"/>
      <c r="E137" s="2"/>
      <c r="F137" s="2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7"/>
      <c r="B138" s="14"/>
      <c r="C138" s="3"/>
      <c r="D138" s="10"/>
      <c r="E138" s="2"/>
      <c r="F138" s="2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7"/>
      <c r="B139" s="14"/>
      <c r="C139" s="3"/>
      <c r="D139" s="10"/>
      <c r="E139" s="2"/>
      <c r="F139" s="2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7"/>
      <c r="B140" s="14"/>
      <c r="C140" s="3"/>
      <c r="D140" s="10"/>
      <c r="E140" s="2"/>
      <c r="F140" s="2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7"/>
      <c r="B141" s="14"/>
      <c r="C141" s="3"/>
      <c r="D141" s="10"/>
      <c r="E141" s="2"/>
      <c r="F141" s="2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7"/>
      <c r="B142" s="14"/>
      <c r="C142" s="3"/>
      <c r="D142" s="10"/>
      <c r="E142" s="2"/>
      <c r="F142" s="2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7"/>
      <c r="B143" s="14"/>
      <c r="C143" s="3"/>
      <c r="D143" s="10"/>
      <c r="E143" s="2"/>
      <c r="F143" s="2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7"/>
      <c r="B144" s="14"/>
      <c r="C144" s="3"/>
      <c r="D144" s="10"/>
      <c r="E144" s="2"/>
      <c r="F144" s="2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7"/>
      <c r="B145" s="14"/>
      <c r="C145" s="3"/>
      <c r="D145" s="10"/>
      <c r="E145" s="2"/>
      <c r="F145" s="2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7"/>
      <c r="B146" s="14"/>
      <c r="C146" s="3"/>
      <c r="D146" s="10"/>
      <c r="E146" s="2"/>
      <c r="F146" s="2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7"/>
      <c r="B147" s="14"/>
      <c r="C147" s="3"/>
      <c r="D147" s="10"/>
      <c r="E147" s="2"/>
      <c r="F147" s="2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7"/>
      <c r="B148" s="14"/>
      <c r="C148" s="3"/>
      <c r="D148" s="10"/>
      <c r="E148" s="2"/>
      <c r="F148" s="2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7"/>
      <c r="B149" s="14"/>
      <c r="C149" s="3"/>
      <c r="D149" s="10"/>
      <c r="E149" s="2"/>
      <c r="F149" s="2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7"/>
      <c r="B150" s="14"/>
      <c r="C150" s="3"/>
      <c r="D150" s="10"/>
      <c r="E150" s="2"/>
      <c r="F150" s="2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7"/>
      <c r="B151" s="14"/>
      <c r="C151" s="3"/>
      <c r="D151" s="10"/>
      <c r="E151" s="2"/>
      <c r="F151" s="2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7"/>
      <c r="B152" s="14"/>
      <c r="C152" s="3"/>
      <c r="D152" s="10"/>
      <c r="E152" s="2"/>
      <c r="F152" s="2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7"/>
      <c r="B153" s="14"/>
      <c r="C153" s="3"/>
      <c r="D153" s="10"/>
      <c r="E153" s="2"/>
      <c r="F153" s="2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7"/>
      <c r="B154" s="14"/>
      <c r="C154" s="3"/>
      <c r="D154" s="10"/>
      <c r="E154" s="2"/>
      <c r="F154" s="2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7"/>
      <c r="B155" s="14"/>
      <c r="C155" s="3"/>
      <c r="D155" s="10"/>
      <c r="E155" s="2"/>
      <c r="F155" s="2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7"/>
      <c r="B156" s="14"/>
      <c r="C156" s="3"/>
      <c r="D156" s="10"/>
      <c r="E156" s="2"/>
      <c r="F156" s="2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7"/>
      <c r="B157" s="14"/>
      <c r="C157" s="3"/>
      <c r="D157" s="10"/>
      <c r="E157" s="2"/>
      <c r="F157" s="2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7"/>
      <c r="B158" s="14"/>
      <c r="C158" s="3"/>
      <c r="D158" s="10"/>
      <c r="E158" s="2"/>
      <c r="F158" s="2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7"/>
      <c r="B159" s="14"/>
      <c r="C159" s="3"/>
      <c r="D159" s="10"/>
      <c r="E159" s="2"/>
      <c r="F159" s="2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7"/>
      <c r="B160" s="14"/>
      <c r="C160" s="3"/>
      <c r="D160" s="10"/>
      <c r="E160" s="2"/>
      <c r="F160" s="2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7"/>
      <c r="B161" s="14"/>
      <c r="C161" s="3"/>
      <c r="D161" s="10"/>
      <c r="E161" s="2"/>
      <c r="F161" s="2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7"/>
      <c r="B162" s="14"/>
      <c r="C162" s="3"/>
      <c r="D162" s="10"/>
      <c r="E162" s="2"/>
      <c r="F162" s="2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7"/>
      <c r="B163" s="14"/>
      <c r="C163" s="3"/>
      <c r="D163" s="10"/>
      <c r="E163" s="2"/>
      <c r="F163" s="2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7"/>
      <c r="B164" s="14"/>
      <c r="C164" s="3"/>
      <c r="D164" s="10"/>
      <c r="E164" s="2"/>
      <c r="F164" s="2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7"/>
      <c r="B165" s="14"/>
      <c r="C165" s="3"/>
      <c r="D165" s="10"/>
      <c r="E165" s="2"/>
      <c r="F165" s="2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7"/>
      <c r="B166" s="14"/>
      <c r="C166" s="3"/>
      <c r="D166" s="10"/>
      <c r="E166" s="2"/>
      <c r="F166" s="2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7"/>
      <c r="B167" s="14"/>
      <c r="C167" s="3"/>
      <c r="D167" s="10"/>
      <c r="E167" s="2"/>
      <c r="F167" s="2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7"/>
      <c r="B168" s="14"/>
      <c r="C168" s="3"/>
      <c r="D168" s="10"/>
      <c r="E168" s="2"/>
      <c r="F168" s="2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7"/>
      <c r="B169" s="14"/>
      <c r="C169" s="3"/>
      <c r="D169" s="10"/>
      <c r="E169" s="2"/>
      <c r="F169" s="2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7"/>
      <c r="B170" s="14"/>
      <c r="C170" s="3"/>
      <c r="D170" s="10"/>
      <c r="E170" s="2"/>
      <c r="F170" s="2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7"/>
      <c r="B171" s="14"/>
      <c r="C171" s="3"/>
      <c r="D171" s="10"/>
      <c r="E171" s="2"/>
      <c r="F171" s="2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7"/>
      <c r="B172" s="14"/>
      <c r="C172" s="3"/>
      <c r="D172" s="10"/>
      <c r="E172" s="2"/>
      <c r="F172" s="2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7"/>
      <c r="B173" s="14"/>
      <c r="C173" s="3"/>
      <c r="D173" s="10"/>
      <c r="E173" s="2"/>
      <c r="F173" s="2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7"/>
      <c r="B174" s="14"/>
      <c r="C174" s="3"/>
      <c r="D174" s="10"/>
      <c r="E174" s="2"/>
      <c r="F174" s="2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7"/>
      <c r="B175" s="14"/>
      <c r="C175" s="3"/>
      <c r="D175" s="10"/>
      <c r="E175" s="2"/>
      <c r="F175" s="2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7"/>
      <c r="B176" s="14"/>
      <c r="C176" s="3"/>
      <c r="D176" s="10"/>
      <c r="E176" s="2"/>
      <c r="F176" s="2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7"/>
      <c r="B177" s="14"/>
      <c r="C177" s="3"/>
      <c r="D177" s="10"/>
      <c r="E177" s="2"/>
      <c r="F177" s="2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7"/>
      <c r="B178" s="14"/>
      <c r="C178" s="3"/>
      <c r="D178" s="10"/>
      <c r="E178" s="2"/>
      <c r="F178" s="2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7"/>
      <c r="B179" s="14"/>
      <c r="C179" s="3"/>
      <c r="D179" s="10"/>
      <c r="E179" s="2"/>
      <c r="F179" s="2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7"/>
      <c r="B180" s="14"/>
      <c r="C180" s="3"/>
      <c r="D180" s="10"/>
      <c r="E180" s="2"/>
      <c r="F180" s="2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7"/>
      <c r="B181" s="14"/>
      <c r="C181" s="3"/>
      <c r="D181" s="10"/>
      <c r="E181" s="2"/>
      <c r="F181" s="2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7"/>
      <c r="B182" s="14"/>
      <c r="C182" s="3"/>
      <c r="D182" s="10"/>
      <c r="E182" s="2"/>
      <c r="F182" s="2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7"/>
      <c r="B183" s="14"/>
      <c r="C183" s="3"/>
      <c r="D183" s="10"/>
      <c r="E183" s="2"/>
      <c r="F183" s="2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7"/>
      <c r="B184" s="14"/>
      <c r="C184" s="3"/>
      <c r="D184" s="10"/>
      <c r="E184" s="2"/>
      <c r="F184" s="2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7"/>
      <c r="B185" s="14"/>
      <c r="C185" s="3"/>
      <c r="D185" s="10"/>
      <c r="E185" s="2"/>
      <c r="F185" s="2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7"/>
      <c r="B186" s="14"/>
      <c r="C186" s="3"/>
      <c r="D186" s="10"/>
      <c r="E186" s="2"/>
      <c r="F186" s="2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7"/>
      <c r="B187" s="14"/>
      <c r="C187" s="3"/>
      <c r="D187" s="10"/>
      <c r="E187" s="2"/>
      <c r="F187" s="2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7"/>
      <c r="B188" s="14"/>
      <c r="C188" s="3"/>
      <c r="D188" s="10"/>
      <c r="E188" s="2"/>
      <c r="F188" s="2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7"/>
      <c r="B189" s="14"/>
      <c r="C189" s="3"/>
      <c r="D189" s="10"/>
      <c r="E189" s="2"/>
      <c r="F189" s="2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7"/>
      <c r="B190" s="14"/>
      <c r="C190" s="3"/>
      <c r="D190" s="10"/>
      <c r="E190" s="2"/>
      <c r="F190" s="2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7"/>
      <c r="B191" s="14"/>
      <c r="C191" s="3"/>
      <c r="D191" s="10"/>
      <c r="E191" s="2"/>
      <c r="F191" s="2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7"/>
      <c r="B192" s="14"/>
      <c r="C192" s="3"/>
      <c r="D192" s="10"/>
      <c r="E192" s="2"/>
      <c r="F192" s="2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7"/>
      <c r="B193" s="14"/>
      <c r="C193" s="3"/>
      <c r="D193" s="10"/>
      <c r="E193" s="2"/>
      <c r="F193" s="2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7"/>
      <c r="B194" s="14"/>
      <c r="C194" s="3"/>
      <c r="D194" s="10"/>
      <c r="E194" s="2"/>
      <c r="F194" s="2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7"/>
      <c r="B195" s="14"/>
      <c r="C195" s="3"/>
      <c r="D195" s="10"/>
      <c r="E195" s="2"/>
      <c r="F195" s="2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7"/>
      <c r="B196" s="14"/>
      <c r="C196" s="3"/>
      <c r="D196" s="10"/>
      <c r="E196" s="2"/>
      <c r="F196" s="2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7"/>
      <c r="B197" s="14"/>
      <c r="C197" s="3"/>
      <c r="D197" s="10"/>
      <c r="E197" s="2"/>
      <c r="F197" s="2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7"/>
      <c r="B198" s="14"/>
      <c r="C198" s="3"/>
      <c r="D198" s="10"/>
      <c r="E198" s="2"/>
      <c r="F198" s="2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7"/>
      <c r="B199" s="14"/>
      <c r="C199" s="3"/>
      <c r="D199" s="10"/>
      <c r="E199" s="2"/>
      <c r="F199" s="2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7"/>
      <c r="B200" s="14"/>
      <c r="C200" s="3"/>
      <c r="D200" s="10"/>
      <c r="E200" s="2"/>
      <c r="F200" s="2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7"/>
      <c r="B201" s="14"/>
      <c r="C201" s="3"/>
      <c r="D201" s="10"/>
      <c r="E201" s="2"/>
      <c r="F201" s="2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7"/>
      <c r="B202" s="14"/>
      <c r="C202" s="3"/>
      <c r="D202" s="10"/>
      <c r="E202" s="2"/>
      <c r="F202" s="2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7"/>
      <c r="B203" s="14"/>
      <c r="C203" s="3"/>
      <c r="D203" s="10"/>
      <c r="E203" s="2"/>
      <c r="F203" s="2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7"/>
      <c r="B204" s="14"/>
      <c r="C204" s="3"/>
      <c r="D204" s="10"/>
      <c r="E204" s="2"/>
      <c r="F204" s="2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7"/>
      <c r="B205" s="14"/>
      <c r="C205" s="3"/>
      <c r="D205" s="10"/>
      <c r="E205" s="2"/>
      <c r="F205" s="2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7"/>
      <c r="B206" s="14"/>
      <c r="C206" s="3"/>
      <c r="D206" s="10"/>
      <c r="E206" s="2"/>
      <c r="F206" s="2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7"/>
      <c r="B207" s="14"/>
      <c r="C207" s="3"/>
      <c r="D207" s="10"/>
      <c r="E207" s="2"/>
      <c r="F207" s="2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7"/>
      <c r="B208" s="14"/>
      <c r="C208" s="3"/>
      <c r="D208" s="10"/>
      <c r="E208" s="2"/>
      <c r="F208" s="2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7"/>
      <c r="B209" s="14"/>
      <c r="C209" s="3"/>
      <c r="D209" s="10"/>
      <c r="E209" s="2"/>
      <c r="F209" s="2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7"/>
      <c r="B210" s="14"/>
      <c r="C210" s="3"/>
      <c r="D210" s="10"/>
      <c r="E210" s="2"/>
      <c r="F210" s="2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7"/>
      <c r="B211" s="14"/>
      <c r="C211" s="3"/>
      <c r="D211" s="10"/>
      <c r="E211" s="2"/>
      <c r="F211" s="2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7"/>
      <c r="B212" s="14"/>
      <c r="C212" s="3"/>
      <c r="D212" s="10"/>
      <c r="E212" s="2"/>
      <c r="F212" s="2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7"/>
      <c r="B213" s="14"/>
      <c r="C213" s="3"/>
      <c r="D213" s="10"/>
      <c r="E213" s="2"/>
      <c r="F213" s="2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7"/>
      <c r="B214" s="14"/>
      <c r="C214" s="3"/>
      <c r="D214" s="10"/>
      <c r="E214" s="2"/>
      <c r="F214" s="2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7"/>
      <c r="B215" s="14"/>
      <c r="C215" s="3"/>
      <c r="D215" s="10"/>
      <c r="E215" s="2"/>
      <c r="F215" s="2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7"/>
      <c r="B216" s="14"/>
      <c r="C216" s="3"/>
      <c r="D216" s="10"/>
      <c r="E216" s="2"/>
      <c r="F216" s="2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7"/>
      <c r="B217" s="14"/>
      <c r="C217" s="3"/>
      <c r="D217" s="10"/>
      <c r="E217" s="2"/>
      <c r="F217" s="2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7"/>
      <c r="B218" s="14"/>
      <c r="C218" s="3"/>
      <c r="D218" s="10"/>
      <c r="E218" s="2"/>
      <c r="F218" s="2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7"/>
      <c r="B219" s="14"/>
      <c r="C219" s="3"/>
      <c r="D219" s="10"/>
      <c r="E219" s="2"/>
      <c r="F219" s="2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7"/>
      <c r="B220" s="14"/>
      <c r="C220" s="3"/>
      <c r="D220" s="10"/>
      <c r="E220" s="2"/>
      <c r="F220" s="2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7"/>
      <c r="B221" s="14"/>
      <c r="C221" s="3"/>
      <c r="D221" s="10"/>
      <c r="E221" s="2"/>
      <c r="F221" s="2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7"/>
      <c r="B222" s="14"/>
      <c r="C222" s="3"/>
      <c r="D222" s="10"/>
      <c r="E222" s="2"/>
      <c r="F222" s="2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7"/>
      <c r="B223" s="14"/>
      <c r="C223" s="3"/>
      <c r="D223" s="10"/>
      <c r="E223" s="2"/>
      <c r="F223" s="2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7"/>
      <c r="B224" s="14"/>
      <c r="C224" s="3"/>
      <c r="D224" s="10"/>
      <c r="E224" s="2"/>
      <c r="F224" s="2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7"/>
      <c r="B225" s="14"/>
      <c r="C225" s="3"/>
      <c r="D225" s="10"/>
      <c r="E225" s="2"/>
      <c r="F225" s="2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7"/>
      <c r="B226" s="14"/>
      <c r="C226" s="3"/>
      <c r="D226" s="10"/>
      <c r="E226" s="2"/>
      <c r="F226" s="2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7"/>
      <c r="B227" s="14"/>
      <c r="C227" s="3"/>
      <c r="D227" s="10"/>
      <c r="E227" s="2"/>
      <c r="F227" s="2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7"/>
      <c r="B228" s="14"/>
      <c r="C228" s="3"/>
      <c r="D228" s="10"/>
      <c r="E228" s="2"/>
      <c r="F228" s="2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7"/>
      <c r="B229" s="14"/>
      <c r="C229" s="3"/>
      <c r="D229" s="10"/>
      <c r="E229" s="2"/>
      <c r="F229" s="2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7"/>
      <c r="B230" s="14"/>
      <c r="C230" s="3"/>
      <c r="D230" s="10"/>
      <c r="E230" s="2"/>
      <c r="F230" s="2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7"/>
      <c r="B231" s="14"/>
      <c r="C231" s="3"/>
      <c r="D231" s="10"/>
      <c r="E231" s="2"/>
      <c r="F231" s="2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7"/>
      <c r="B232" s="14"/>
      <c r="C232" s="3"/>
      <c r="D232" s="10"/>
      <c r="E232" s="2"/>
      <c r="F232" s="2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7"/>
      <c r="B233" s="14"/>
      <c r="C233" s="3"/>
      <c r="D233" s="10"/>
      <c r="E233" s="2"/>
      <c r="F233" s="2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7"/>
      <c r="B234" s="14"/>
      <c r="C234" s="3"/>
      <c r="D234" s="10"/>
      <c r="E234" s="2"/>
      <c r="F234" s="2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7"/>
      <c r="B235" s="14"/>
      <c r="C235" s="3"/>
      <c r="D235" s="10"/>
      <c r="E235" s="2"/>
      <c r="F235" s="2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7"/>
      <c r="B236" s="14"/>
      <c r="C236" s="3"/>
      <c r="D236" s="10"/>
      <c r="E236" s="2"/>
      <c r="F236" s="2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7"/>
      <c r="B237" s="14"/>
      <c r="C237" s="3"/>
      <c r="D237" s="10"/>
      <c r="E237" s="2"/>
      <c r="F237" s="2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7"/>
      <c r="B238" s="14"/>
      <c r="C238" s="3"/>
      <c r="D238" s="10"/>
      <c r="E238" s="2"/>
      <c r="F238" s="2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7"/>
      <c r="B239" s="14"/>
      <c r="C239" s="3"/>
      <c r="D239" s="10"/>
      <c r="E239" s="2"/>
      <c r="F239" s="2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7"/>
      <c r="B240" s="14"/>
      <c r="C240" s="3"/>
      <c r="D240" s="10"/>
      <c r="E240" s="2"/>
      <c r="F240" s="2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7"/>
      <c r="B241" s="14"/>
      <c r="C241" s="3"/>
      <c r="D241" s="10"/>
      <c r="E241" s="2"/>
      <c r="F241" s="2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7"/>
      <c r="B242" s="14"/>
      <c r="C242" s="3"/>
      <c r="D242" s="10"/>
      <c r="E242" s="2"/>
      <c r="F242" s="2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7"/>
      <c r="B243" s="14"/>
      <c r="C243" s="3"/>
      <c r="D243" s="10"/>
      <c r="E243" s="2"/>
      <c r="F243" s="2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7"/>
      <c r="B244" s="14"/>
      <c r="C244" s="3"/>
      <c r="D244" s="10"/>
      <c r="E244" s="2"/>
      <c r="F244" s="2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7"/>
      <c r="B245" s="14"/>
      <c r="C245" s="3"/>
      <c r="D245" s="10"/>
      <c r="E245" s="2"/>
      <c r="F245" s="2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7"/>
      <c r="B246" s="14"/>
      <c r="C246" s="3"/>
      <c r="D246" s="10"/>
      <c r="E246" s="2"/>
      <c r="F246" s="2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7"/>
      <c r="B247" s="14"/>
      <c r="C247" s="3"/>
      <c r="D247" s="10"/>
      <c r="E247" s="2"/>
      <c r="F247" s="2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7"/>
      <c r="B248" s="14"/>
      <c r="C248" s="3"/>
      <c r="D248" s="10"/>
      <c r="E248" s="2"/>
      <c r="F248" s="2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7"/>
      <c r="B249" s="14"/>
      <c r="C249" s="3"/>
      <c r="D249" s="10"/>
      <c r="E249" s="2"/>
      <c r="F249" s="2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7"/>
      <c r="B250" s="14"/>
      <c r="C250" s="3"/>
      <c r="D250" s="10"/>
      <c r="E250" s="2"/>
      <c r="F250" s="2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7"/>
      <c r="B251" s="14"/>
      <c r="C251" s="3"/>
      <c r="D251" s="10"/>
      <c r="E251" s="2"/>
      <c r="F251" s="2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7"/>
      <c r="B252" s="14"/>
      <c r="C252" s="3"/>
      <c r="D252" s="10"/>
      <c r="E252" s="2"/>
      <c r="F252" s="2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7"/>
      <c r="B253" s="14"/>
      <c r="C253" s="3"/>
      <c r="D253" s="10"/>
      <c r="E253" s="2"/>
      <c r="F253" s="2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7"/>
      <c r="B254" s="14"/>
      <c r="C254" s="3"/>
      <c r="D254" s="10"/>
      <c r="E254" s="2"/>
      <c r="F254" s="2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7"/>
      <c r="B255" s="14"/>
      <c r="C255" s="3"/>
      <c r="D255" s="10"/>
      <c r="E255" s="2"/>
      <c r="F255" s="2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7"/>
      <c r="B256" s="14"/>
      <c r="C256" s="3"/>
      <c r="D256" s="10"/>
      <c r="E256" s="2"/>
      <c r="F256" s="2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7"/>
      <c r="B257" s="14"/>
      <c r="C257" s="3"/>
      <c r="D257" s="10"/>
      <c r="E257" s="2"/>
      <c r="F257" s="2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7"/>
      <c r="B258" s="14"/>
      <c r="C258" s="3"/>
      <c r="D258" s="10"/>
      <c r="E258" s="2"/>
      <c r="F258" s="2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7"/>
      <c r="B259" s="14"/>
      <c r="C259" s="3"/>
      <c r="D259" s="10"/>
      <c r="E259" s="2"/>
      <c r="F259" s="2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7"/>
      <c r="B260" s="14"/>
      <c r="C260" s="3"/>
      <c r="D260" s="10"/>
      <c r="E260" s="2"/>
      <c r="F260" s="2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7"/>
      <c r="B261" s="14"/>
      <c r="C261" s="3"/>
      <c r="D261" s="10"/>
      <c r="E261" s="2"/>
      <c r="F261" s="2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7"/>
      <c r="B262" s="14"/>
      <c r="C262" s="3"/>
      <c r="D262" s="10"/>
      <c r="E262" s="2"/>
      <c r="F262" s="2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7"/>
      <c r="B263" s="14"/>
      <c r="C263" s="3"/>
      <c r="D263" s="10"/>
      <c r="E263" s="2"/>
      <c r="F263" s="2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7"/>
      <c r="B264" s="14"/>
      <c r="C264" s="3"/>
      <c r="D264" s="10"/>
      <c r="E264" s="2"/>
      <c r="F264" s="2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7"/>
      <c r="B265" s="14"/>
      <c r="C265" s="3"/>
      <c r="D265" s="10"/>
      <c r="E265" s="2"/>
      <c r="F265" s="2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7"/>
      <c r="B266" s="14"/>
      <c r="C266" s="3"/>
      <c r="D266" s="10"/>
      <c r="E266" s="2"/>
      <c r="F266" s="2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7"/>
      <c r="B267" s="14"/>
      <c r="C267" s="3"/>
      <c r="D267" s="10"/>
      <c r="E267" s="2"/>
      <c r="F267" s="2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7"/>
      <c r="B268" s="14"/>
      <c r="C268" s="3"/>
      <c r="D268" s="10"/>
      <c r="E268" s="2"/>
      <c r="F268" s="2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7"/>
      <c r="B269" s="14"/>
      <c r="C269" s="3"/>
      <c r="D269" s="10"/>
      <c r="E269" s="2"/>
      <c r="F269" s="2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7"/>
      <c r="B270" s="14"/>
      <c r="C270" s="3"/>
      <c r="D270" s="10"/>
      <c r="E270" s="2"/>
      <c r="F270" s="2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7"/>
      <c r="B271" s="14"/>
      <c r="C271" s="3"/>
      <c r="D271" s="10"/>
      <c r="E271" s="2"/>
      <c r="F271" s="2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7"/>
      <c r="B272" s="14"/>
      <c r="C272" s="3"/>
      <c r="D272" s="10"/>
      <c r="E272" s="2"/>
      <c r="F272" s="2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7"/>
      <c r="B273" s="14"/>
      <c r="C273" s="3"/>
      <c r="D273" s="10"/>
      <c r="E273" s="2"/>
      <c r="F273" s="2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7"/>
      <c r="B274" s="14"/>
      <c r="C274" s="3"/>
      <c r="D274" s="10"/>
      <c r="E274" s="2"/>
      <c r="F274" s="2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7"/>
      <c r="B275" s="14"/>
      <c r="C275" s="3"/>
      <c r="D275" s="10"/>
      <c r="E275" s="2"/>
      <c r="F275" s="2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7"/>
      <c r="B276" s="14"/>
      <c r="C276" s="3"/>
      <c r="D276" s="10"/>
      <c r="E276" s="2"/>
      <c r="F276" s="2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7"/>
      <c r="B277" s="14"/>
      <c r="C277" s="3"/>
      <c r="D277" s="10"/>
      <c r="E277" s="2"/>
      <c r="F277" s="2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7"/>
      <c r="B278" s="14"/>
      <c r="C278" s="3"/>
      <c r="D278" s="10"/>
      <c r="E278" s="2"/>
      <c r="F278" s="2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7"/>
      <c r="B279" s="14"/>
      <c r="C279" s="3"/>
      <c r="D279" s="10"/>
      <c r="E279" s="2"/>
      <c r="F279" s="2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7"/>
      <c r="B280" s="14"/>
      <c r="C280" s="3"/>
      <c r="D280" s="10"/>
      <c r="E280" s="2"/>
      <c r="F280" s="2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7"/>
      <c r="B281" s="14"/>
      <c r="C281" s="3"/>
      <c r="D281" s="10"/>
      <c r="E281" s="2"/>
      <c r="F281" s="2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7"/>
      <c r="B282" s="14"/>
      <c r="C282" s="3"/>
      <c r="D282" s="10"/>
      <c r="E282" s="2"/>
      <c r="F282" s="2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7"/>
      <c r="B283" s="14"/>
      <c r="C283" s="3"/>
      <c r="D283" s="10"/>
      <c r="E283" s="2"/>
      <c r="F283" s="2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7"/>
      <c r="B284" s="14"/>
      <c r="C284" s="3"/>
      <c r="D284" s="10"/>
      <c r="E284" s="2"/>
      <c r="F284" s="2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7"/>
      <c r="B285" s="14"/>
      <c r="C285" s="3"/>
      <c r="D285" s="10"/>
      <c r="E285" s="2"/>
      <c r="F285" s="2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7"/>
      <c r="B286" s="14"/>
      <c r="C286" s="3"/>
      <c r="D286" s="10"/>
      <c r="E286" s="2"/>
      <c r="F286" s="2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7"/>
      <c r="B287" s="14"/>
      <c r="C287" s="3"/>
      <c r="D287" s="10"/>
      <c r="E287" s="2"/>
      <c r="F287" s="2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7"/>
      <c r="B288" s="14"/>
      <c r="C288" s="3"/>
      <c r="D288" s="10"/>
      <c r="E288" s="2"/>
      <c r="F288" s="2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7"/>
      <c r="B289" s="14"/>
      <c r="C289" s="3"/>
      <c r="D289" s="10"/>
      <c r="E289" s="2"/>
      <c r="F289" s="2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7"/>
      <c r="B290" s="14"/>
      <c r="C290" s="3"/>
      <c r="D290" s="10"/>
      <c r="E290" s="2"/>
      <c r="F290" s="2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7"/>
      <c r="B291" s="14"/>
      <c r="C291" s="3"/>
      <c r="D291" s="10"/>
      <c r="E291" s="2"/>
      <c r="F291" s="2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7"/>
      <c r="B292" s="14"/>
      <c r="C292" s="3"/>
      <c r="D292" s="10"/>
      <c r="E292" s="2"/>
      <c r="F292" s="2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7"/>
      <c r="B293" s="14"/>
      <c r="C293" s="3"/>
      <c r="D293" s="10"/>
      <c r="E293" s="2"/>
      <c r="F293" s="2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7"/>
      <c r="B294" s="14"/>
      <c r="C294" s="3"/>
      <c r="D294" s="10"/>
      <c r="E294" s="2"/>
      <c r="F294" s="2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7"/>
      <c r="B295" s="14"/>
      <c r="C295" s="3"/>
      <c r="D295" s="10"/>
      <c r="E295" s="2"/>
      <c r="F295" s="2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7"/>
      <c r="B296" s="14"/>
      <c r="C296" s="3"/>
      <c r="D296" s="10"/>
      <c r="E296" s="2"/>
      <c r="F296" s="2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7"/>
      <c r="B297" s="14"/>
      <c r="C297" s="3"/>
      <c r="D297" s="10"/>
      <c r="E297" s="2"/>
      <c r="F297" s="2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7"/>
      <c r="B298" s="14"/>
      <c r="C298" s="3"/>
      <c r="D298" s="10"/>
      <c r="E298" s="2"/>
      <c r="F298" s="2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7"/>
      <c r="B299" s="14"/>
      <c r="C299" s="3"/>
      <c r="D299" s="10"/>
      <c r="E299" s="2"/>
      <c r="F299" s="2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7"/>
      <c r="B300" s="14"/>
      <c r="C300" s="3"/>
      <c r="D300" s="10"/>
      <c r="E300" s="2"/>
      <c r="F300" s="2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7"/>
      <c r="B301" s="14"/>
      <c r="C301" s="3"/>
      <c r="D301" s="10"/>
      <c r="E301" s="2"/>
      <c r="F301" s="2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7"/>
      <c r="B302" s="14"/>
      <c r="C302" s="3"/>
      <c r="D302" s="10"/>
      <c r="E302" s="2"/>
      <c r="F302" s="2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7"/>
      <c r="B303" s="14"/>
      <c r="C303" s="3"/>
      <c r="D303" s="10"/>
      <c r="E303" s="2"/>
      <c r="F303" s="2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7"/>
      <c r="B304" s="14"/>
      <c r="C304" s="3"/>
      <c r="D304" s="10"/>
      <c r="E304" s="2"/>
      <c r="F304" s="2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7"/>
      <c r="B305" s="14"/>
      <c r="C305" s="3"/>
      <c r="D305" s="10"/>
      <c r="E305" s="2"/>
      <c r="F305" s="2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7"/>
      <c r="B306" s="14"/>
      <c r="C306" s="3"/>
      <c r="D306" s="10"/>
      <c r="E306" s="2"/>
      <c r="F306" s="2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7"/>
      <c r="B307" s="14"/>
      <c r="C307" s="3"/>
      <c r="D307" s="10"/>
      <c r="E307" s="2"/>
      <c r="F307" s="2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7"/>
      <c r="B308" s="14"/>
      <c r="C308" s="3"/>
      <c r="D308" s="10"/>
      <c r="E308" s="2"/>
      <c r="F308" s="2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7"/>
      <c r="B309" s="14"/>
      <c r="C309" s="3"/>
      <c r="D309" s="10"/>
      <c r="E309" s="2"/>
      <c r="F309" s="2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7"/>
      <c r="B310" s="14"/>
      <c r="C310" s="3"/>
      <c r="D310" s="10"/>
      <c r="E310" s="2"/>
      <c r="F310" s="2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7"/>
      <c r="B311" s="14"/>
      <c r="C311" s="3"/>
      <c r="D311" s="10"/>
      <c r="E311" s="2"/>
      <c r="F311" s="2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7"/>
      <c r="B312" s="14"/>
      <c r="C312" s="3"/>
      <c r="D312" s="10"/>
      <c r="E312" s="2"/>
      <c r="F312" s="2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7"/>
      <c r="B313" s="14"/>
      <c r="C313" s="3"/>
      <c r="D313" s="10"/>
      <c r="E313" s="2"/>
      <c r="F313" s="2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7"/>
      <c r="B314" s="14"/>
      <c r="C314" s="3"/>
      <c r="D314" s="10"/>
      <c r="E314" s="2"/>
      <c r="F314" s="2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7"/>
      <c r="B315" s="14"/>
      <c r="C315" s="3"/>
      <c r="D315" s="10"/>
      <c r="E315" s="2"/>
      <c r="F315" s="2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7"/>
      <c r="B316" s="14"/>
      <c r="C316" s="3"/>
      <c r="D316" s="10"/>
      <c r="E316" s="2"/>
      <c r="F316" s="2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7"/>
      <c r="B317" s="14"/>
      <c r="C317" s="3"/>
      <c r="D317" s="10"/>
      <c r="E317" s="2"/>
      <c r="F317" s="2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7"/>
      <c r="B318" s="14"/>
      <c r="C318" s="3"/>
      <c r="D318" s="10"/>
      <c r="E318" s="2"/>
      <c r="F318" s="2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7"/>
      <c r="B319" s="14"/>
      <c r="C319" s="3"/>
      <c r="D319" s="10"/>
      <c r="E319" s="2"/>
      <c r="F319" s="2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7"/>
      <c r="B320" s="14"/>
      <c r="C320" s="3"/>
      <c r="D320" s="10"/>
      <c r="E320" s="2"/>
      <c r="F320" s="2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7"/>
      <c r="B321" s="14"/>
      <c r="C321" s="3"/>
      <c r="D321" s="10"/>
      <c r="E321" s="2"/>
      <c r="F321" s="2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7"/>
      <c r="B322" s="14"/>
      <c r="C322" s="3"/>
      <c r="D322" s="10"/>
      <c r="E322" s="2"/>
      <c r="F322" s="2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7"/>
      <c r="B323" s="14"/>
      <c r="C323" s="3"/>
      <c r="D323" s="10"/>
      <c r="E323" s="2"/>
      <c r="F323" s="2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7"/>
      <c r="B324" s="14"/>
      <c r="C324" s="3"/>
      <c r="D324" s="10"/>
      <c r="E324" s="2"/>
      <c r="F324" s="2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7"/>
      <c r="B325" s="14"/>
      <c r="C325" s="3"/>
      <c r="D325" s="10"/>
      <c r="E325" s="2"/>
      <c r="F325" s="2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7"/>
      <c r="B326" s="14"/>
      <c r="C326" s="3"/>
      <c r="D326" s="10"/>
      <c r="E326" s="2"/>
      <c r="F326" s="2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7"/>
      <c r="B327" s="14"/>
      <c r="C327" s="3"/>
      <c r="D327" s="10"/>
      <c r="E327" s="2"/>
      <c r="F327" s="2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7"/>
      <c r="B328" s="14"/>
      <c r="C328" s="3"/>
      <c r="D328" s="10"/>
      <c r="E328" s="2"/>
      <c r="F328" s="2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7"/>
      <c r="B329" s="14"/>
      <c r="C329" s="3"/>
      <c r="D329" s="10"/>
      <c r="E329" s="2"/>
      <c r="F329" s="2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7"/>
      <c r="B330" s="14"/>
      <c r="C330" s="3"/>
      <c r="D330" s="10"/>
      <c r="E330" s="2"/>
      <c r="F330" s="2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7"/>
      <c r="B331" s="14"/>
      <c r="C331" s="3"/>
      <c r="D331" s="10"/>
      <c r="E331" s="2"/>
      <c r="F331" s="2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7"/>
      <c r="B332" s="14"/>
      <c r="C332" s="3"/>
      <c r="D332" s="10"/>
      <c r="E332" s="2"/>
      <c r="F332" s="2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7"/>
      <c r="B333" s="14"/>
      <c r="C333" s="3"/>
      <c r="D333" s="10"/>
      <c r="E333" s="2"/>
      <c r="F333" s="2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7"/>
      <c r="B334" s="14"/>
      <c r="C334" s="3"/>
      <c r="D334" s="10"/>
      <c r="E334" s="2"/>
      <c r="F334" s="2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7"/>
      <c r="B335" s="14"/>
      <c r="C335" s="3"/>
      <c r="D335" s="10"/>
      <c r="E335" s="2"/>
      <c r="F335" s="2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7"/>
      <c r="B336" s="14"/>
      <c r="C336" s="3"/>
      <c r="D336" s="10"/>
      <c r="E336" s="2"/>
      <c r="F336" s="2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7"/>
      <c r="B337" s="14"/>
      <c r="C337" s="3"/>
      <c r="D337" s="10"/>
      <c r="E337" s="2"/>
      <c r="F337" s="2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7"/>
      <c r="B338" s="14"/>
      <c r="C338" s="3"/>
      <c r="D338" s="10"/>
      <c r="E338" s="2"/>
      <c r="F338" s="2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7"/>
      <c r="B339" s="14"/>
      <c r="C339" s="3"/>
      <c r="D339" s="10"/>
      <c r="E339" s="2"/>
      <c r="F339" s="2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7"/>
      <c r="B340" s="14"/>
      <c r="C340" s="3"/>
      <c r="D340" s="10"/>
      <c r="E340" s="2"/>
      <c r="F340" s="2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7"/>
      <c r="B341" s="14"/>
      <c r="C341" s="3"/>
      <c r="D341" s="10"/>
      <c r="E341" s="2"/>
      <c r="F341" s="2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7"/>
      <c r="B342" s="14"/>
      <c r="C342" s="3"/>
      <c r="D342" s="10"/>
      <c r="E342" s="2"/>
      <c r="F342" s="2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7"/>
      <c r="B343" s="14"/>
      <c r="C343" s="3"/>
      <c r="D343" s="10"/>
      <c r="E343" s="2"/>
      <c r="F343" s="2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7"/>
      <c r="B344" s="14"/>
      <c r="C344" s="3"/>
      <c r="D344" s="10"/>
      <c r="E344" s="2"/>
      <c r="F344" s="2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7"/>
      <c r="B345" s="14"/>
      <c r="C345" s="3"/>
      <c r="D345" s="10"/>
      <c r="E345" s="2"/>
      <c r="F345" s="2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7"/>
      <c r="B346" s="14"/>
      <c r="C346" s="3"/>
      <c r="D346" s="10"/>
      <c r="E346" s="2"/>
      <c r="F346" s="2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7"/>
      <c r="B347" s="14"/>
      <c r="C347" s="3"/>
      <c r="D347" s="10"/>
      <c r="E347" s="2"/>
      <c r="F347" s="2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7"/>
      <c r="B348" s="14"/>
      <c r="C348" s="3"/>
      <c r="D348" s="10"/>
      <c r="E348" s="2"/>
      <c r="F348" s="2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7"/>
      <c r="B349" s="14"/>
      <c r="C349" s="3"/>
      <c r="D349" s="10"/>
      <c r="E349" s="2"/>
      <c r="F349" s="2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7"/>
      <c r="B350" s="14"/>
      <c r="C350" s="3"/>
      <c r="D350" s="10"/>
      <c r="E350" s="2"/>
      <c r="F350" s="2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7"/>
      <c r="B351" s="14"/>
      <c r="C351" s="3"/>
      <c r="D351" s="10"/>
      <c r="E351" s="2"/>
      <c r="F351" s="2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7"/>
      <c r="B352" s="14"/>
      <c r="C352" s="3"/>
      <c r="D352" s="10"/>
      <c r="E352" s="2"/>
      <c r="F352" s="2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7"/>
      <c r="B353" s="14"/>
      <c r="C353" s="3"/>
      <c r="D353" s="10"/>
      <c r="E353" s="2"/>
      <c r="F353" s="2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7"/>
      <c r="B354" s="14"/>
      <c r="C354" s="3"/>
      <c r="D354" s="10"/>
      <c r="E354" s="2"/>
      <c r="F354" s="2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7"/>
      <c r="B355" s="14"/>
      <c r="C355" s="3"/>
      <c r="D355" s="10"/>
      <c r="E355" s="2"/>
      <c r="F355" s="2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7"/>
      <c r="B356" s="14"/>
      <c r="C356" s="3"/>
      <c r="D356" s="10"/>
      <c r="E356" s="2"/>
      <c r="F356" s="2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7"/>
      <c r="B357" s="14"/>
      <c r="C357" s="3"/>
      <c r="D357" s="10"/>
      <c r="E357" s="2"/>
      <c r="F357" s="2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7"/>
      <c r="B358" s="14"/>
      <c r="C358" s="3"/>
      <c r="D358" s="10"/>
      <c r="E358" s="2"/>
      <c r="F358" s="2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7"/>
      <c r="B359" s="14"/>
      <c r="C359" s="3"/>
      <c r="D359" s="10"/>
      <c r="E359" s="2"/>
      <c r="F359" s="2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7"/>
      <c r="B360" s="14"/>
      <c r="C360" s="3"/>
      <c r="D360" s="10"/>
      <c r="E360" s="2"/>
      <c r="F360" s="2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7"/>
      <c r="B361" s="14"/>
      <c r="C361" s="3"/>
      <c r="D361" s="10"/>
      <c r="E361" s="2"/>
      <c r="F361" s="2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7"/>
      <c r="B362" s="14"/>
      <c r="C362" s="3"/>
      <c r="D362" s="10"/>
      <c r="E362" s="2"/>
      <c r="F362" s="2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7"/>
      <c r="B363" s="14"/>
      <c r="C363" s="3"/>
      <c r="D363" s="10"/>
      <c r="E363" s="2"/>
      <c r="F363" s="2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7"/>
      <c r="B364" s="14"/>
      <c r="C364" s="3"/>
      <c r="D364" s="10"/>
      <c r="E364" s="2"/>
      <c r="F364" s="2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7"/>
      <c r="B365" s="14"/>
      <c r="C365" s="3"/>
      <c r="D365" s="10"/>
      <c r="E365" s="2"/>
      <c r="F365" s="2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7"/>
      <c r="B366" s="14"/>
      <c r="C366" s="3"/>
      <c r="D366" s="10"/>
      <c r="E366" s="2"/>
      <c r="F366" s="2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7"/>
      <c r="B367" s="14"/>
      <c r="C367" s="3"/>
      <c r="D367" s="10"/>
      <c r="E367" s="2"/>
      <c r="F367" s="2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7"/>
      <c r="B368" s="14"/>
      <c r="C368" s="3"/>
      <c r="D368" s="10"/>
      <c r="E368" s="2"/>
      <c r="F368" s="2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7"/>
      <c r="B369" s="14"/>
      <c r="C369" s="3"/>
      <c r="D369" s="10"/>
      <c r="E369" s="2"/>
      <c r="F369" s="2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7"/>
      <c r="B370" s="14"/>
      <c r="C370" s="3"/>
      <c r="D370" s="10"/>
      <c r="E370" s="2"/>
      <c r="F370" s="2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7"/>
      <c r="B371" s="14"/>
      <c r="C371" s="3"/>
      <c r="D371" s="10"/>
      <c r="E371" s="2"/>
      <c r="F371" s="2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7"/>
      <c r="B372" s="14"/>
      <c r="C372" s="3"/>
      <c r="D372" s="10"/>
      <c r="E372" s="2"/>
      <c r="F372" s="2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7"/>
      <c r="B373" s="14"/>
      <c r="C373" s="3"/>
      <c r="D373" s="10"/>
      <c r="E373" s="2"/>
      <c r="F373" s="2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7"/>
      <c r="B374" s="14"/>
      <c r="C374" s="3"/>
      <c r="D374" s="10"/>
      <c r="E374" s="2"/>
      <c r="F374" s="2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7"/>
      <c r="B375" s="14"/>
      <c r="C375" s="3"/>
      <c r="D375" s="10"/>
      <c r="E375" s="2"/>
      <c r="F375" s="2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7"/>
      <c r="B376" s="14"/>
      <c r="C376" s="3"/>
      <c r="D376" s="10"/>
      <c r="E376" s="2"/>
      <c r="F376" s="2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7"/>
      <c r="B377" s="14"/>
      <c r="C377" s="3"/>
      <c r="D377" s="10"/>
      <c r="E377" s="2"/>
      <c r="F377" s="2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7"/>
      <c r="B378" s="14"/>
      <c r="C378" s="3"/>
      <c r="D378" s="10"/>
      <c r="E378" s="2"/>
      <c r="F378" s="2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7"/>
      <c r="B379" s="14"/>
      <c r="C379" s="3"/>
      <c r="D379" s="10"/>
      <c r="E379" s="2"/>
      <c r="F379" s="2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7"/>
      <c r="B380" s="14"/>
      <c r="C380" s="3"/>
      <c r="D380" s="10"/>
      <c r="E380" s="2"/>
      <c r="F380" s="2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7"/>
      <c r="B381" s="14"/>
      <c r="C381" s="3"/>
      <c r="D381" s="10"/>
      <c r="E381" s="2"/>
      <c r="F381" s="2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7"/>
      <c r="B382" s="14"/>
      <c r="C382" s="3"/>
      <c r="D382" s="10"/>
      <c r="E382" s="2"/>
      <c r="F382" s="2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7"/>
      <c r="B383" s="14"/>
      <c r="C383" s="3"/>
      <c r="D383" s="10"/>
      <c r="E383" s="2"/>
      <c r="F383" s="2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7"/>
      <c r="B384" s="14"/>
      <c r="C384" s="3"/>
      <c r="D384" s="10"/>
      <c r="E384" s="2"/>
      <c r="F384" s="2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7"/>
      <c r="B385" s="14"/>
      <c r="C385" s="3"/>
      <c r="D385" s="10"/>
      <c r="E385" s="2"/>
      <c r="F385" s="2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7"/>
      <c r="B386" s="14"/>
      <c r="C386" s="3"/>
      <c r="D386" s="10"/>
      <c r="E386" s="2"/>
      <c r="F386" s="2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7"/>
      <c r="B387" s="14"/>
      <c r="C387" s="3"/>
      <c r="D387" s="10"/>
      <c r="E387" s="2"/>
      <c r="F387" s="2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7"/>
      <c r="B388" s="14"/>
      <c r="C388" s="3"/>
      <c r="D388" s="10"/>
      <c r="E388" s="2"/>
      <c r="F388" s="2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7"/>
      <c r="B389" s="14"/>
      <c r="C389" s="3"/>
      <c r="D389" s="10"/>
      <c r="E389" s="2"/>
      <c r="F389" s="2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7"/>
      <c r="B390" s="14"/>
      <c r="C390" s="3"/>
      <c r="D390" s="10"/>
      <c r="E390" s="2"/>
      <c r="F390" s="2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7"/>
      <c r="B391" s="14"/>
      <c r="C391" s="3"/>
      <c r="D391" s="10"/>
      <c r="E391" s="2"/>
      <c r="F391" s="2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7"/>
      <c r="B392" s="14"/>
      <c r="C392" s="3"/>
      <c r="D392" s="10"/>
      <c r="E392" s="2"/>
      <c r="F392" s="2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7"/>
      <c r="B393" s="14"/>
      <c r="C393" s="3"/>
      <c r="D393" s="10"/>
      <c r="E393" s="2"/>
      <c r="F393" s="2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7"/>
      <c r="B394" s="14"/>
      <c r="C394" s="3"/>
      <c r="D394" s="10"/>
      <c r="E394" s="2"/>
      <c r="F394" s="2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7"/>
      <c r="B395" s="14"/>
      <c r="C395" s="3"/>
      <c r="D395" s="10"/>
      <c r="E395" s="2"/>
      <c r="F395" s="2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7"/>
      <c r="B396" s="14"/>
      <c r="C396" s="3"/>
      <c r="D396" s="10"/>
      <c r="E396" s="2"/>
      <c r="F396" s="2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7"/>
      <c r="B397" s="14"/>
      <c r="C397" s="3"/>
      <c r="D397" s="10"/>
      <c r="E397" s="2"/>
      <c r="F397" s="2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7"/>
      <c r="B398" s="14"/>
      <c r="C398" s="3"/>
      <c r="D398" s="10"/>
      <c r="E398" s="2"/>
      <c r="F398" s="2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7"/>
      <c r="B399" s="14"/>
      <c r="C399" s="3"/>
      <c r="D399" s="10"/>
      <c r="E399" s="2"/>
      <c r="F399" s="2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7"/>
      <c r="B400" s="14"/>
      <c r="C400" s="3"/>
      <c r="D400" s="10"/>
      <c r="E400" s="2"/>
      <c r="F400" s="2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7"/>
      <c r="B401" s="14"/>
      <c r="C401" s="3"/>
      <c r="D401" s="10"/>
      <c r="E401" s="2"/>
      <c r="F401" s="2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7"/>
      <c r="B402" s="14"/>
      <c r="C402" s="3"/>
      <c r="D402" s="10"/>
      <c r="E402" s="2"/>
      <c r="F402" s="2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7"/>
      <c r="B403" s="14"/>
      <c r="C403" s="3"/>
      <c r="D403" s="10"/>
      <c r="E403" s="2"/>
      <c r="F403" s="2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7"/>
      <c r="B404" s="14"/>
      <c r="C404" s="3"/>
      <c r="D404" s="10"/>
      <c r="E404" s="2"/>
      <c r="F404" s="2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7"/>
      <c r="B405" s="14"/>
      <c r="C405" s="3"/>
      <c r="D405" s="10"/>
      <c r="E405" s="2"/>
      <c r="F405" s="2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7"/>
      <c r="B406" s="14"/>
      <c r="C406" s="3"/>
      <c r="D406" s="10"/>
      <c r="E406" s="2"/>
      <c r="F406" s="2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7"/>
      <c r="B407" s="14"/>
      <c r="C407" s="3"/>
      <c r="D407" s="10"/>
      <c r="E407" s="2"/>
      <c r="F407" s="2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7"/>
      <c r="B408" s="14"/>
      <c r="C408" s="3"/>
      <c r="D408" s="10"/>
      <c r="E408" s="2"/>
      <c r="F408" s="2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7"/>
      <c r="B409" s="14"/>
      <c r="C409" s="3"/>
      <c r="D409" s="10"/>
      <c r="E409" s="2"/>
      <c r="F409" s="2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7"/>
      <c r="B410" s="14"/>
      <c r="C410" s="3"/>
      <c r="D410" s="10"/>
      <c r="E410" s="2"/>
      <c r="F410" s="2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7"/>
      <c r="B411" s="14"/>
      <c r="C411" s="3"/>
      <c r="D411" s="10"/>
      <c r="E411" s="2"/>
      <c r="F411" s="2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7"/>
      <c r="B412" s="14"/>
      <c r="C412" s="3"/>
      <c r="D412" s="10"/>
      <c r="E412" s="2"/>
      <c r="F412" s="2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7"/>
      <c r="B413" s="14"/>
      <c r="C413" s="3"/>
      <c r="D413" s="10"/>
      <c r="E413" s="2"/>
      <c r="F413" s="2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7"/>
      <c r="B414" s="14"/>
      <c r="C414" s="3"/>
      <c r="D414" s="10"/>
      <c r="E414" s="2"/>
      <c r="F414" s="2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7"/>
      <c r="B415" s="14"/>
      <c r="C415" s="3"/>
      <c r="D415" s="10"/>
      <c r="E415" s="2"/>
      <c r="F415" s="2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7"/>
      <c r="B416" s="14"/>
      <c r="C416" s="3"/>
      <c r="D416" s="10"/>
      <c r="E416" s="2"/>
      <c r="F416" s="2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7"/>
      <c r="B417" s="14"/>
      <c r="C417" s="3"/>
      <c r="D417" s="10"/>
      <c r="E417" s="2"/>
      <c r="F417" s="2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7"/>
      <c r="B418" s="14"/>
      <c r="C418" s="3"/>
      <c r="D418" s="10"/>
      <c r="E418" s="2"/>
      <c r="F418" s="2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7"/>
      <c r="B419" s="14"/>
      <c r="C419" s="3"/>
      <c r="D419" s="10"/>
      <c r="E419" s="2"/>
      <c r="F419" s="2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7"/>
      <c r="B420" s="14"/>
      <c r="C420" s="3"/>
      <c r="D420" s="10"/>
      <c r="E420" s="2"/>
      <c r="F420" s="2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7"/>
      <c r="B421" s="14"/>
      <c r="C421" s="3"/>
      <c r="D421" s="10"/>
      <c r="E421" s="2"/>
      <c r="F421" s="2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7"/>
      <c r="B422" s="14"/>
      <c r="C422" s="3"/>
      <c r="D422" s="10"/>
      <c r="E422" s="2"/>
      <c r="F422" s="2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7"/>
      <c r="B423" s="14"/>
      <c r="C423" s="3"/>
      <c r="D423" s="10"/>
      <c r="E423" s="2"/>
      <c r="F423" s="2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7"/>
      <c r="B424" s="14"/>
      <c r="C424" s="3"/>
      <c r="D424" s="10"/>
      <c r="E424" s="2"/>
      <c r="F424" s="2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7"/>
      <c r="B425" s="14"/>
      <c r="C425" s="3"/>
      <c r="D425" s="10"/>
      <c r="E425" s="2"/>
      <c r="F425" s="2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7"/>
      <c r="B426" s="14"/>
      <c r="C426" s="3"/>
      <c r="D426" s="10"/>
      <c r="E426" s="2"/>
      <c r="F426" s="2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7"/>
      <c r="B427" s="14"/>
      <c r="C427" s="3"/>
      <c r="D427" s="10"/>
      <c r="E427" s="2"/>
      <c r="F427" s="2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7"/>
      <c r="B428" s="14"/>
      <c r="C428" s="3"/>
      <c r="D428" s="10"/>
      <c r="E428" s="2"/>
      <c r="F428" s="2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7"/>
      <c r="B429" s="14"/>
      <c r="C429" s="3"/>
      <c r="D429" s="10"/>
      <c r="E429" s="2"/>
      <c r="F429" s="2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7"/>
      <c r="B430" s="14"/>
      <c r="C430" s="3"/>
      <c r="D430" s="10"/>
      <c r="E430" s="2"/>
      <c r="F430" s="2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7"/>
      <c r="B431" s="14"/>
      <c r="C431" s="3"/>
      <c r="D431" s="10"/>
      <c r="E431" s="2"/>
      <c r="F431" s="2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7"/>
      <c r="B432" s="14"/>
      <c r="C432" s="3"/>
      <c r="D432" s="10"/>
      <c r="E432" s="2"/>
      <c r="F432" s="2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7"/>
      <c r="B433" s="14"/>
      <c r="C433" s="3"/>
      <c r="D433" s="10"/>
      <c r="E433" s="2"/>
      <c r="F433" s="2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7"/>
      <c r="B434" s="14"/>
      <c r="C434" s="3"/>
      <c r="D434" s="10"/>
      <c r="E434" s="2"/>
      <c r="F434" s="2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7"/>
      <c r="B435" s="14"/>
      <c r="C435" s="3"/>
      <c r="D435" s="10"/>
      <c r="E435" s="2"/>
      <c r="F435" s="2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7"/>
      <c r="B436" s="14"/>
      <c r="C436" s="3"/>
      <c r="D436" s="10"/>
      <c r="E436" s="2"/>
      <c r="F436" s="2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7"/>
      <c r="B437" s="14"/>
      <c r="C437" s="3"/>
      <c r="D437" s="10"/>
      <c r="E437" s="2"/>
      <c r="F437" s="2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7"/>
      <c r="B438" s="14"/>
      <c r="C438" s="3"/>
      <c r="D438" s="10"/>
      <c r="E438" s="2"/>
      <c r="F438" s="2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7"/>
      <c r="B439" s="14"/>
      <c r="C439" s="3"/>
      <c r="D439" s="10"/>
      <c r="E439" s="2"/>
      <c r="F439" s="2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7"/>
      <c r="B440" s="14"/>
      <c r="C440" s="3"/>
      <c r="D440" s="10"/>
      <c r="E440" s="2"/>
      <c r="F440" s="2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7"/>
      <c r="B441" s="14"/>
      <c r="C441" s="3"/>
      <c r="D441" s="10"/>
      <c r="E441" s="2"/>
      <c r="F441" s="2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7"/>
      <c r="B442" s="14"/>
      <c r="C442" s="3"/>
      <c r="D442" s="10"/>
      <c r="E442" s="2"/>
      <c r="F442" s="2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7"/>
      <c r="B443" s="14"/>
      <c r="C443" s="3"/>
      <c r="D443" s="10"/>
      <c r="E443" s="2"/>
      <c r="F443" s="2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7"/>
      <c r="B444" s="14"/>
      <c r="C444" s="3"/>
      <c r="D444" s="10"/>
      <c r="E444" s="2"/>
      <c r="F444" s="2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7"/>
      <c r="B445" s="14"/>
      <c r="C445" s="3"/>
      <c r="D445" s="10"/>
      <c r="E445" s="2"/>
      <c r="F445" s="2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7"/>
      <c r="B446" s="14"/>
      <c r="C446" s="3"/>
      <c r="D446" s="10"/>
      <c r="E446" s="2"/>
      <c r="F446" s="2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7"/>
      <c r="B447" s="14"/>
      <c r="C447" s="3"/>
      <c r="D447" s="10"/>
      <c r="E447" s="2"/>
      <c r="F447" s="2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7"/>
      <c r="B448" s="14"/>
      <c r="C448" s="3"/>
      <c r="D448" s="10"/>
      <c r="E448" s="2"/>
      <c r="F448" s="2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7"/>
      <c r="B449" s="14"/>
      <c r="C449" s="3"/>
      <c r="D449" s="10"/>
      <c r="E449" s="2"/>
      <c r="F449" s="2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7"/>
      <c r="B450" s="14"/>
      <c r="C450" s="3"/>
      <c r="D450" s="10"/>
      <c r="E450" s="2"/>
      <c r="F450" s="2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7"/>
      <c r="B451" s="14"/>
      <c r="C451" s="3"/>
      <c r="D451" s="10"/>
      <c r="E451" s="2"/>
      <c r="F451" s="2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7"/>
      <c r="B452" s="14"/>
      <c r="C452" s="3"/>
      <c r="D452" s="10"/>
      <c r="E452" s="2"/>
      <c r="F452" s="2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7"/>
      <c r="B453" s="14"/>
      <c r="C453" s="3"/>
      <c r="D453" s="10"/>
      <c r="E453" s="2"/>
      <c r="F453" s="2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7"/>
      <c r="B454" s="14"/>
      <c r="C454" s="3"/>
      <c r="D454" s="10"/>
      <c r="E454" s="2"/>
      <c r="F454" s="2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7"/>
      <c r="B455" s="14"/>
      <c r="C455" s="3"/>
      <c r="D455" s="10"/>
      <c r="E455" s="2"/>
      <c r="F455" s="2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7"/>
      <c r="B456" s="14"/>
      <c r="C456" s="3"/>
      <c r="D456" s="10"/>
      <c r="E456" s="2"/>
      <c r="F456" s="2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7"/>
      <c r="B457" s="14"/>
      <c r="C457" s="3"/>
      <c r="D457" s="10"/>
      <c r="E457" s="2"/>
      <c r="F457" s="2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7"/>
      <c r="B458" s="14"/>
      <c r="C458" s="3"/>
      <c r="D458" s="10"/>
      <c r="E458" s="2"/>
      <c r="F458" s="2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7"/>
      <c r="B459" s="14"/>
      <c r="C459" s="3"/>
      <c r="D459" s="10"/>
      <c r="E459" s="2"/>
      <c r="F459" s="2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7"/>
      <c r="B460" s="14"/>
      <c r="C460" s="3"/>
      <c r="D460" s="10"/>
      <c r="E460" s="2"/>
      <c r="F460" s="2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7"/>
      <c r="B461" s="14"/>
      <c r="C461" s="3"/>
      <c r="D461" s="10"/>
      <c r="E461" s="2"/>
      <c r="F461" s="2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7"/>
      <c r="B462" s="14"/>
      <c r="C462" s="3"/>
      <c r="D462" s="10"/>
      <c r="E462" s="2"/>
      <c r="F462" s="2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7"/>
      <c r="B463" s="14"/>
      <c r="C463" s="3"/>
      <c r="D463" s="10"/>
      <c r="E463" s="2"/>
      <c r="F463" s="2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7"/>
      <c r="B464" s="14"/>
      <c r="C464" s="3"/>
      <c r="D464" s="10"/>
      <c r="E464" s="2"/>
      <c r="F464" s="2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7"/>
      <c r="B465" s="14"/>
      <c r="C465" s="3"/>
      <c r="D465" s="10"/>
      <c r="E465" s="2"/>
      <c r="F465" s="2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7"/>
      <c r="B466" s="14"/>
      <c r="C466" s="3"/>
      <c r="D466" s="10"/>
      <c r="E466" s="2"/>
      <c r="F466" s="2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7"/>
      <c r="B467" s="14"/>
      <c r="C467" s="3"/>
      <c r="D467" s="10"/>
      <c r="E467" s="2"/>
      <c r="F467" s="2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7"/>
      <c r="B468" s="14"/>
      <c r="C468" s="3"/>
      <c r="D468" s="10"/>
      <c r="E468" s="2"/>
      <c r="F468" s="2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7"/>
      <c r="B469" s="14"/>
      <c r="C469" s="3"/>
      <c r="D469" s="10"/>
      <c r="E469" s="2"/>
      <c r="F469" s="2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7"/>
      <c r="B470" s="14"/>
      <c r="C470" s="3"/>
      <c r="D470" s="10"/>
      <c r="E470" s="2"/>
      <c r="F470" s="2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7"/>
      <c r="B471" s="14"/>
      <c r="C471" s="3"/>
      <c r="D471" s="10"/>
      <c r="E471" s="2"/>
      <c r="F471" s="2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7"/>
      <c r="B472" s="14"/>
      <c r="C472" s="3"/>
      <c r="D472" s="10"/>
      <c r="E472" s="2"/>
      <c r="F472" s="2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7"/>
      <c r="B473" s="14"/>
      <c r="C473" s="3"/>
      <c r="D473" s="10"/>
      <c r="E473" s="2"/>
      <c r="F473" s="2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7"/>
      <c r="B474" s="14"/>
      <c r="C474" s="3"/>
      <c r="D474" s="10"/>
      <c r="E474" s="2"/>
      <c r="F474" s="2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7"/>
      <c r="B475" s="14"/>
      <c r="C475" s="3"/>
      <c r="D475" s="10"/>
      <c r="E475" s="2"/>
      <c r="F475" s="2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7"/>
      <c r="B476" s="14"/>
      <c r="C476" s="3"/>
      <c r="D476" s="10"/>
      <c r="E476" s="2"/>
      <c r="F476" s="2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7"/>
      <c r="B477" s="14"/>
      <c r="C477" s="3"/>
      <c r="D477" s="10"/>
      <c r="E477" s="2"/>
      <c r="F477" s="2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7"/>
      <c r="B478" s="14"/>
      <c r="C478" s="3"/>
      <c r="D478" s="10"/>
      <c r="E478" s="2"/>
      <c r="F478" s="2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7"/>
      <c r="B479" s="14"/>
      <c r="C479" s="3"/>
      <c r="D479" s="10"/>
      <c r="E479" s="2"/>
      <c r="F479" s="2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7"/>
      <c r="B480" s="14"/>
      <c r="C480" s="3"/>
      <c r="D480" s="10"/>
      <c r="E480" s="2"/>
      <c r="F480" s="2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7"/>
      <c r="B481" s="14"/>
      <c r="C481" s="3"/>
      <c r="D481" s="10"/>
      <c r="E481" s="2"/>
      <c r="F481" s="2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7"/>
      <c r="B482" s="14"/>
      <c r="C482" s="3"/>
      <c r="D482" s="10"/>
      <c r="E482" s="2"/>
      <c r="F482" s="2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7"/>
      <c r="B483" s="14"/>
      <c r="C483" s="3"/>
      <c r="D483" s="10"/>
      <c r="E483" s="2"/>
      <c r="F483" s="2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7"/>
      <c r="B484" s="14"/>
      <c r="C484" s="3"/>
      <c r="D484" s="10"/>
      <c r="E484" s="2"/>
      <c r="F484" s="2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7"/>
      <c r="B485" s="14"/>
      <c r="C485" s="3"/>
      <c r="D485" s="10"/>
      <c r="E485" s="2"/>
      <c r="F485" s="2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7"/>
      <c r="B486" s="14"/>
      <c r="C486" s="3"/>
      <c r="D486" s="10"/>
      <c r="E486" s="2"/>
      <c r="F486" s="2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7"/>
      <c r="B487" s="14"/>
      <c r="C487" s="3"/>
      <c r="D487" s="10"/>
      <c r="E487" s="2"/>
      <c r="F487" s="2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7"/>
      <c r="B488" s="14"/>
      <c r="C488" s="3"/>
      <c r="D488" s="10"/>
      <c r="E488" s="2"/>
      <c r="F488" s="2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7"/>
      <c r="B489" s="14"/>
      <c r="C489" s="3"/>
      <c r="D489" s="10"/>
      <c r="E489" s="2"/>
      <c r="F489" s="2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7"/>
      <c r="B490" s="14"/>
      <c r="C490" s="3"/>
      <c r="D490" s="10"/>
      <c r="E490" s="2"/>
      <c r="F490" s="2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7"/>
      <c r="B491" s="14"/>
      <c r="C491" s="3"/>
      <c r="D491" s="10"/>
      <c r="E491" s="2"/>
      <c r="F491" s="2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7"/>
      <c r="B492" s="14"/>
      <c r="C492" s="3"/>
      <c r="D492" s="10"/>
      <c r="E492" s="2"/>
      <c r="F492" s="2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7"/>
      <c r="B493" s="14"/>
      <c r="C493" s="3"/>
      <c r="D493" s="10"/>
      <c r="E493" s="2"/>
      <c r="F493" s="2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7"/>
      <c r="B494" s="14"/>
      <c r="C494" s="3"/>
      <c r="D494" s="10"/>
      <c r="E494" s="2"/>
      <c r="F494" s="2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7"/>
      <c r="B495" s="14"/>
      <c r="C495" s="3"/>
      <c r="D495" s="10"/>
      <c r="E495" s="2"/>
      <c r="F495" s="2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7"/>
      <c r="B496" s="14"/>
      <c r="C496" s="3"/>
      <c r="D496" s="10"/>
      <c r="E496" s="2"/>
      <c r="F496" s="2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7"/>
      <c r="B497" s="14"/>
      <c r="C497" s="3"/>
      <c r="D497" s="10"/>
      <c r="E497" s="2"/>
      <c r="F497" s="2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7"/>
      <c r="B498" s="14"/>
      <c r="C498" s="3"/>
      <c r="D498" s="10"/>
      <c r="E498" s="2"/>
      <c r="F498" s="2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7"/>
      <c r="B499" s="14"/>
      <c r="C499" s="3"/>
      <c r="D499" s="10"/>
      <c r="E499" s="2"/>
      <c r="F499" s="2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7"/>
      <c r="B500" s="14"/>
      <c r="C500" s="3"/>
      <c r="D500" s="10"/>
      <c r="E500" s="2"/>
      <c r="F500" s="2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7"/>
      <c r="B501" s="14"/>
      <c r="C501" s="3"/>
      <c r="D501" s="10"/>
      <c r="E501" s="2"/>
      <c r="F501" s="2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7"/>
      <c r="B502" s="14"/>
      <c r="C502" s="3"/>
      <c r="D502" s="10"/>
      <c r="E502" s="2"/>
      <c r="F502" s="2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7"/>
      <c r="B503" s="14"/>
      <c r="C503" s="3"/>
      <c r="D503" s="10"/>
      <c r="E503" s="2"/>
      <c r="F503" s="2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7"/>
      <c r="B504" s="14"/>
      <c r="C504" s="3"/>
      <c r="D504" s="10"/>
      <c r="E504" s="2"/>
      <c r="F504" s="2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7"/>
      <c r="B505" s="14"/>
      <c r="C505" s="3"/>
      <c r="D505" s="10"/>
      <c r="E505" s="2"/>
      <c r="F505" s="2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7"/>
      <c r="B506" s="14"/>
      <c r="C506" s="3"/>
      <c r="D506" s="10"/>
      <c r="E506" s="2"/>
      <c r="F506" s="2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7"/>
      <c r="B507" s="14"/>
      <c r="C507" s="3"/>
      <c r="D507" s="10"/>
      <c r="E507" s="2"/>
      <c r="F507" s="2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7"/>
      <c r="B508" s="14"/>
      <c r="C508" s="3"/>
      <c r="D508" s="10"/>
      <c r="E508" s="2"/>
      <c r="F508" s="2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7"/>
      <c r="B509" s="14"/>
      <c r="C509" s="3"/>
      <c r="D509" s="10"/>
      <c r="E509" s="2"/>
      <c r="F509" s="2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7"/>
      <c r="B510" s="14"/>
      <c r="C510" s="3"/>
      <c r="D510" s="10"/>
      <c r="E510" s="2"/>
      <c r="F510" s="2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7"/>
      <c r="B511" s="14"/>
      <c r="C511" s="3"/>
      <c r="D511" s="10"/>
      <c r="E511" s="2"/>
      <c r="F511" s="2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7"/>
      <c r="B512" s="14"/>
      <c r="C512" s="3"/>
      <c r="D512" s="10"/>
      <c r="E512" s="2"/>
      <c r="F512" s="2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7"/>
      <c r="B513" s="14"/>
      <c r="C513" s="3"/>
      <c r="D513" s="10"/>
      <c r="E513" s="2"/>
      <c r="F513" s="2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7"/>
      <c r="B514" s="14"/>
      <c r="C514" s="3"/>
      <c r="D514" s="10"/>
      <c r="E514" s="2"/>
      <c r="F514" s="2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7"/>
      <c r="B515" s="14"/>
      <c r="C515" s="3"/>
      <c r="D515" s="10"/>
      <c r="E515" s="2"/>
      <c r="F515" s="2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7"/>
      <c r="B516" s="14"/>
      <c r="C516" s="3"/>
      <c r="D516" s="10"/>
      <c r="E516" s="2"/>
      <c r="F516" s="2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7"/>
      <c r="B517" s="14"/>
      <c r="C517" s="3"/>
      <c r="D517" s="10"/>
      <c r="E517" s="2"/>
      <c r="F517" s="2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7"/>
      <c r="B518" s="14"/>
      <c r="C518" s="3"/>
      <c r="D518" s="10"/>
      <c r="E518" s="2"/>
      <c r="F518" s="2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7"/>
      <c r="B519" s="14"/>
      <c r="C519" s="3"/>
      <c r="D519" s="10"/>
      <c r="E519" s="2"/>
      <c r="F519" s="2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7"/>
      <c r="B520" s="14"/>
      <c r="C520" s="3"/>
      <c r="D520" s="10"/>
      <c r="E520" s="2"/>
      <c r="F520" s="2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7"/>
      <c r="B521" s="14"/>
      <c r="C521" s="3"/>
      <c r="D521" s="10"/>
      <c r="E521" s="2"/>
      <c r="F521" s="2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7"/>
      <c r="B522" s="14"/>
      <c r="C522" s="3"/>
      <c r="D522" s="10"/>
      <c r="E522" s="2"/>
      <c r="F522" s="2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7"/>
      <c r="B523" s="14"/>
      <c r="C523" s="3"/>
      <c r="D523" s="10"/>
      <c r="E523" s="2"/>
      <c r="F523" s="2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7"/>
      <c r="B524" s="14"/>
      <c r="C524" s="3"/>
      <c r="D524" s="10"/>
      <c r="E524" s="2"/>
      <c r="F524" s="2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7"/>
      <c r="B525" s="14"/>
      <c r="C525" s="3"/>
      <c r="D525" s="10"/>
      <c r="E525" s="2"/>
      <c r="F525" s="2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7"/>
      <c r="B526" s="14"/>
      <c r="C526" s="3"/>
      <c r="D526" s="10"/>
      <c r="E526" s="2"/>
      <c r="F526" s="2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7"/>
      <c r="B527" s="14"/>
      <c r="C527" s="3"/>
      <c r="D527" s="10"/>
      <c r="E527" s="2"/>
      <c r="F527" s="2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7"/>
      <c r="B528" s="14"/>
      <c r="C528" s="3"/>
      <c r="D528" s="10"/>
      <c r="E528" s="2"/>
      <c r="F528" s="2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7"/>
      <c r="B529" s="14"/>
      <c r="C529" s="3"/>
      <c r="D529" s="10"/>
      <c r="E529" s="2"/>
      <c r="F529" s="2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7"/>
      <c r="B530" s="14"/>
      <c r="C530" s="3"/>
      <c r="D530" s="10"/>
      <c r="E530" s="2"/>
      <c r="F530" s="2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7"/>
      <c r="B531" s="14"/>
      <c r="C531" s="3"/>
      <c r="D531" s="10"/>
      <c r="E531" s="2"/>
      <c r="F531" s="2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7"/>
      <c r="B532" s="14"/>
      <c r="C532" s="3"/>
      <c r="D532" s="10"/>
      <c r="E532" s="2"/>
      <c r="F532" s="2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7"/>
      <c r="B533" s="14"/>
      <c r="C533" s="3"/>
      <c r="D533" s="10"/>
      <c r="E533" s="2"/>
      <c r="F533" s="2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7"/>
      <c r="B534" s="14"/>
      <c r="C534" s="3"/>
      <c r="D534" s="10"/>
      <c r="E534" s="2"/>
      <c r="F534" s="2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7"/>
      <c r="B535" s="14"/>
      <c r="C535" s="3"/>
      <c r="D535" s="10"/>
      <c r="E535" s="2"/>
      <c r="F535" s="2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7"/>
      <c r="B536" s="14"/>
      <c r="C536" s="3"/>
      <c r="D536" s="10"/>
      <c r="E536" s="2"/>
      <c r="F536" s="2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7"/>
      <c r="B537" s="14"/>
      <c r="C537" s="3"/>
      <c r="D537" s="10"/>
      <c r="E537" s="2"/>
      <c r="F537" s="2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7"/>
      <c r="B538" s="14"/>
      <c r="C538" s="3"/>
      <c r="D538" s="10"/>
      <c r="E538" s="2"/>
      <c r="F538" s="2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7"/>
      <c r="B539" s="14"/>
      <c r="C539" s="3"/>
      <c r="D539" s="10"/>
      <c r="E539" s="2"/>
      <c r="F539" s="2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7"/>
      <c r="B540" s="14"/>
      <c r="C540" s="3"/>
      <c r="D540" s="10"/>
      <c r="E540" s="2"/>
      <c r="F540" s="2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7"/>
      <c r="B541" s="14"/>
      <c r="C541" s="3"/>
      <c r="D541" s="10"/>
      <c r="E541" s="2"/>
      <c r="F541" s="2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7"/>
      <c r="B542" s="14"/>
      <c r="C542" s="3"/>
      <c r="D542" s="10"/>
      <c r="E542" s="2"/>
      <c r="F542" s="2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7"/>
      <c r="B543" s="14"/>
      <c r="C543" s="3"/>
      <c r="D543" s="10"/>
      <c r="E543" s="2"/>
      <c r="F543" s="2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7"/>
      <c r="B544" s="14"/>
      <c r="C544" s="3"/>
      <c r="D544" s="10"/>
      <c r="E544" s="2"/>
      <c r="F544" s="2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7"/>
      <c r="B545" s="14"/>
      <c r="C545" s="3"/>
      <c r="D545" s="10"/>
      <c r="E545" s="2"/>
      <c r="F545" s="2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7"/>
      <c r="B546" s="14"/>
      <c r="C546" s="3"/>
      <c r="D546" s="10"/>
      <c r="E546" s="2"/>
      <c r="F546" s="2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7"/>
      <c r="B547" s="14"/>
      <c r="C547" s="3"/>
      <c r="D547" s="10"/>
      <c r="E547" s="2"/>
      <c r="F547" s="2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7"/>
      <c r="B548" s="14"/>
      <c r="C548" s="3"/>
      <c r="D548" s="10"/>
      <c r="E548" s="2"/>
      <c r="F548" s="2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7"/>
      <c r="B549" s="14"/>
      <c r="C549" s="3"/>
      <c r="D549" s="10"/>
      <c r="E549" s="2"/>
      <c r="F549" s="2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7"/>
      <c r="B550" s="14"/>
      <c r="C550" s="3"/>
      <c r="D550" s="10"/>
      <c r="E550" s="2"/>
      <c r="F550" s="2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7"/>
      <c r="B551" s="14"/>
      <c r="C551" s="3"/>
      <c r="D551" s="10"/>
      <c r="E551" s="2"/>
      <c r="F551" s="2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7"/>
      <c r="B552" s="14"/>
      <c r="C552" s="3"/>
      <c r="D552" s="10"/>
      <c r="E552" s="2"/>
      <c r="F552" s="2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7"/>
      <c r="B553" s="14"/>
      <c r="C553" s="3"/>
      <c r="D553" s="10"/>
      <c r="E553" s="2"/>
      <c r="F553" s="2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7"/>
      <c r="B554" s="14"/>
      <c r="C554" s="3"/>
      <c r="D554" s="10"/>
      <c r="E554" s="2"/>
      <c r="F554" s="2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7"/>
      <c r="B555" s="14"/>
      <c r="C555" s="3"/>
      <c r="D555" s="10"/>
      <c r="E555" s="2"/>
      <c r="F555" s="2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7"/>
      <c r="B556" s="14"/>
      <c r="C556" s="3"/>
      <c r="D556" s="10"/>
      <c r="E556" s="2"/>
      <c r="F556" s="2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7"/>
      <c r="B557" s="14"/>
      <c r="C557" s="3"/>
      <c r="D557" s="10"/>
      <c r="E557" s="2"/>
      <c r="F557" s="2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7"/>
      <c r="B558" s="14"/>
      <c r="C558" s="3"/>
      <c r="D558" s="10"/>
      <c r="E558" s="2"/>
      <c r="F558" s="2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7"/>
      <c r="B559" s="14"/>
      <c r="C559" s="3"/>
      <c r="D559" s="10"/>
      <c r="E559" s="2"/>
      <c r="F559" s="2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7"/>
      <c r="B560" s="14"/>
      <c r="C560" s="3"/>
      <c r="D560" s="10"/>
      <c r="E560" s="2"/>
      <c r="F560" s="2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7"/>
      <c r="B561" s="14"/>
      <c r="C561" s="3"/>
      <c r="D561" s="10"/>
      <c r="E561" s="2"/>
      <c r="F561" s="2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7"/>
      <c r="B562" s="14"/>
      <c r="C562" s="3"/>
      <c r="D562" s="10"/>
      <c r="E562" s="2"/>
      <c r="F562" s="2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7"/>
      <c r="B563" s="14"/>
      <c r="C563" s="3"/>
      <c r="D563" s="10"/>
      <c r="E563" s="2"/>
      <c r="F563" s="2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7"/>
      <c r="B564" s="14"/>
      <c r="C564" s="3"/>
      <c r="D564" s="10"/>
      <c r="E564" s="2"/>
      <c r="F564" s="2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7"/>
      <c r="B565" s="14"/>
      <c r="C565" s="3"/>
      <c r="D565" s="10"/>
      <c r="E565" s="2"/>
      <c r="F565" s="2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7"/>
      <c r="B566" s="14"/>
      <c r="C566" s="3"/>
      <c r="D566" s="10"/>
      <c r="E566" s="2"/>
      <c r="F566" s="2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7"/>
      <c r="B567" s="14"/>
      <c r="C567" s="3"/>
      <c r="D567" s="10"/>
      <c r="E567" s="2"/>
      <c r="F567" s="2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7"/>
      <c r="B568" s="14"/>
      <c r="C568" s="3"/>
      <c r="D568" s="10"/>
      <c r="E568" s="2"/>
      <c r="F568" s="2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7"/>
      <c r="B569" s="14"/>
      <c r="C569" s="3"/>
      <c r="D569" s="10"/>
      <c r="E569" s="2"/>
      <c r="F569" s="2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7"/>
      <c r="B570" s="14"/>
      <c r="C570" s="3"/>
      <c r="D570" s="10"/>
      <c r="E570" s="2"/>
      <c r="F570" s="2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7"/>
      <c r="B571" s="14"/>
      <c r="C571" s="3"/>
      <c r="D571" s="10"/>
      <c r="E571" s="2"/>
      <c r="F571" s="2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7"/>
      <c r="B572" s="14"/>
      <c r="C572" s="3"/>
      <c r="D572" s="10"/>
      <c r="E572" s="2"/>
      <c r="F572" s="2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7"/>
      <c r="B573" s="14"/>
      <c r="C573" s="3"/>
      <c r="D573" s="10"/>
      <c r="E573" s="2"/>
      <c r="F573" s="2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7"/>
      <c r="B574" s="14"/>
      <c r="C574" s="3"/>
      <c r="D574" s="10"/>
      <c r="E574" s="2"/>
      <c r="F574" s="2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7"/>
      <c r="B575" s="14"/>
      <c r="C575" s="3"/>
      <c r="D575" s="10"/>
      <c r="E575" s="2"/>
      <c r="F575" s="2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7"/>
      <c r="B576" s="14"/>
      <c r="C576" s="3"/>
      <c r="D576" s="10"/>
      <c r="E576" s="2"/>
      <c r="F576" s="2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7"/>
      <c r="B577" s="14"/>
      <c r="C577" s="3"/>
      <c r="D577" s="10"/>
      <c r="E577" s="2"/>
      <c r="F577" s="2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7"/>
      <c r="B578" s="14"/>
      <c r="C578" s="3"/>
      <c r="D578" s="10"/>
      <c r="E578" s="2"/>
      <c r="F578" s="2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7"/>
      <c r="B579" s="14"/>
      <c r="C579" s="3"/>
      <c r="D579" s="10"/>
      <c r="E579" s="2"/>
      <c r="F579" s="2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7"/>
      <c r="B580" s="14"/>
      <c r="C580" s="3"/>
      <c r="D580" s="10"/>
      <c r="E580" s="2"/>
      <c r="F580" s="2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7"/>
      <c r="B581" s="14"/>
      <c r="C581" s="3"/>
      <c r="D581" s="10"/>
      <c r="E581" s="2"/>
      <c r="F581" s="2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7"/>
      <c r="B582" s="14"/>
      <c r="C582" s="3"/>
      <c r="D582" s="10"/>
      <c r="E582" s="2"/>
      <c r="F582" s="2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7"/>
      <c r="B583" s="14"/>
      <c r="C583" s="3"/>
      <c r="D583" s="10"/>
      <c r="E583" s="2"/>
      <c r="F583" s="2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7"/>
      <c r="B584" s="14"/>
      <c r="C584" s="3"/>
      <c r="D584" s="10"/>
      <c r="E584" s="2"/>
      <c r="F584" s="2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7"/>
      <c r="B585" s="14"/>
      <c r="C585" s="3"/>
      <c r="D585" s="10"/>
      <c r="E585" s="2"/>
      <c r="F585" s="2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7"/>
      <c r="B586" s="14"/>
      <c r="C586" s="3"/>
      <c r="D586" s="10"/>
      <c r="E586" s="2"/>
      <c r="F586" s="2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7"/>
      <c r="B587" s="14"/>
      <c r="C587" s="3"/>
      <c r="D587" s="10"/>
      <c r="E587" s="2"/>
      <c r="F587" s="2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7"/>
      <c r="B588" s="14"/>
      <c r="C588" s="3"/>
      <c r="D588" s="10"/>
      <c r="E588" s="2"/>
      <c r="F588" s="2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7"/>
      <c r="B589" s="14"/>
      <c r="C589" s="3"/>
      <c r="D589" s="10"/>
      <c r="E589" s="2"/>
      <c r="F589" s="2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7"/>
      <c r="B590" s="14"/>
      <c r="C590" s="3"/>
      <c r="D590" s="10"/>
      <c r="E590" s="2"/>
      <c r="F590" s="2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7"/>
      <c r="B591" s="14"/>
      <c r="C591" s="3"/>
      <c r="D591" s="10"/>
      <c r="E591" s="2"/>
      <c r="F591" s="2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7"/>
      <c r="B592" s="14"/>
      <c r="C592" s="3"/>
      <c r="D592" s="10"/>
      <c r="E592" s="2"/>
      <c r="F592" s="2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7"/>
      <c r="B593" s="14"/>
      <c r="C593" s="3"/>
      <c r="D593" s="10"/>
      <c r="E593" s="2"/>
      <c r="F593" s="2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7"/>
      <c r="B594" s="14"/>
      <c r="C594" s="3"/>
      <c r="D594" s="10"/>
      <c r="E594" s="2"/>
      <c r="F594" s="2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7"/>
      <c r="B595" s="14"/>
      <c r="C595" s="3"/>
      <c r="D595" s="10"/>
      <c r="E595" s="2"/>
      <c r="F595" s="2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7"/>
      <c r="B596" s="14"/>
      <c r="C596" s="3"/>
      <c r="D596" s="10"/>
      <c r="E596" s="2"/>
      <c r="F596" s="2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7"/>
      <c r="B597" s="14"/>
      <c r="C597" s="3"/>
      <c r="D597" s="10"/>
      <c r="E597" s="2"/>
      <c r="F597" s="2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7"/>
      <c r="B598" s="14"/>
      <c r="C598" s="3"/>
      <c r="D598" s="10"/>
      <c r="E598" s="2"/>
      <c r="F598" s="2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7"/>
      <c r="B599" s="14"/>
      <c r="C599" s="3"/>
      <c r="D599" s="10"/>
      <c r="E599" s="2"/>
      <c r="F599" s="2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7"/>
      <c r="B600" s="14"/>
      <c r="C600" s="3"/>
      <c r="D600" s="10"/>
      <c r="E600" s="2"/>
      <c r="F600" s="2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7"/>
      <c r="B601" s="14"/>
      <c r="C601" s="3"/>
      <c r="D601" s="10"/>
      <c r="E601" s="2"/>
      <c r="F601" s="2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7"/>
      <c r="B602" s="14"/>
      <c r="C602" s="3"/>
      <c r="D602" s="10"/>
      <c r="E602" s="2"/>
      <c r="F602" s="2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7"/>
      <c r="B603" s="14"/>
      <c r="C603" s="3"/>
      <c r="D603" s="10"/>
      <c r="E603" s="2"/>
      <c r="F603" s="2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7"/>
      <c r="B604" s="14"/>
      <c r="C604" s="3"/>
      <c r="D604" s="10"/>
      <c r="E604" s="2"/>
      <c r="F604" s="2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7"/>
      <c r="B605" s="14"/>
      <c r="C605" s="3"/>
      <c r="D605" s="10"/>
      <c r="E605" s="2"/>
      <c r="F605" s="2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7"/>
      <c r="B606" s="14"/>
      <c r="C606" s="3"/>
      <c r="D606" s="10"/>
      <c r="E606" s="2"/>
      <c r="F606" s="2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7"/>
      <c r="B607" s="14"/>
      <c r="C607" s="3"/>
      <c r="D607" s="10"/>
      <c r="E607" s="2"/>
      <c r="F607" s="2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7"/>
      <c r="B608" s="14"/>
      <c r="C608" s="3"/>
      <c r="D608" s="10"/>
      <c r="E608" s="2"/>
      <c r="F608" s="2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7"/>
      <c r="B609" s="14"/>
      <c r="C609" s="3"/>
      <c r="D609" s="10"/>
      <c r="E609" s="2"/>
      <c r="F609" s="2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7"/>
      <c r="B610" s="14"/>
      <c r="C610" s="3"/>
      <c r="D610" s="10"/>
      <c r="E610" s="2"/>
      <c r="F610" s="2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7"/>
      <c r="B611" s="14"/>
      <c r="C611" s="3"/>
      <c r="D611" s="10"/>
      <c r="E611" s="2"/>
      <c r="F611" s="2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7"/>
      <c r="B612" s="14"/>
      <c r="C612" s="3"/>
      <c r="D612" s="10"/>
      <c r="E612" s="2"/>
      <c r="F612" s="2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7"/>
      <c r="B613" s="14"/>
      <c r="C613" s="3"/>
      <c r="D613" s="10"/>
      <c r="E613" s="2"/>
      <c r="F613" s="2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7"/>
      <c r="B614" s="14"/>
      <c r="C614" s="3"/>
      <c r="D614" s="10"/>
      <c r="E614" s="2"/>
      <c r="F614" s="2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7"/>
      <c r="B615" s="14"/>
      <c r="C615" s="3"/>
      <c r="D615" s="10"/>
      <c r="E615" s="2"/>
      <c r="F615" s="2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7"/>
      <c r="B616" s="14"/>
      <c r="C616" s="3"/>
      <c r="D616" s="10"/>
      <c r="E616" s="2"/>
      <c r="F616" s="2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7"/>
      <c r="B617" s="14"/>
      <c r="C617" s="3"/>
      <c r="D617" s="10"/>
      <c r="E617" s="2"/>
      <c r="F617" s="2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7"/>
      <c r="B618" s="14"/>
      <c r="C618" s="3"/>
      <c r="D618" s="10"/>
      <c r="E618" s="2"/>
      <c r="F618" s="2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7"/>
      <c r="B619" s="14"/>
      <c r="C619" s="3"/>
      <c r="D619" s="10"/>
      <c r="E619" s="2"/>
      <c r="F619" s="2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7"/>
      <c r="B620" s="14"/>
      <c r="C620" s="3"/>
      <c r="D620" s="10"/>
      <c r="E620" s="2"/>
      <c r="F620" s="2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7"/>
      <c r="B621" s="14"/>
      <c r="C621" s="3"/>
      <c r="D621" s="10"/>
      <c r="E621" s="2"/>
      <c r="F621" s="2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7"/>
      <c r="B622" s="14"/>
      <c r="C622" s="3"/>
      <c r="D622" s="10"/>
      <c r="E622" s="2"/>
      <c r="F622" s="2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7"/>
      <c r="B623" s="14"/>
      <c r="C623" s="3"/>
      <c r="D623" s="10"/>
      <c r="E623" s="2"/>
      <c r="F623" s="2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7"/>
      <c r="B624" s="14"/>
      <c r="C624" s="3"/>
      <c r="D624" s="10"/>
      <c r="E624" s="2"/>
      <c r="F624" s="2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7"/>
      <c r="B625" s="14"/>
      <c r="C625" s="3"/>
      <c r="D625" s="10"/>
      <c r="E625" s="2"/>
      <c r="F625" s="2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7"/>
      <c r="B626" s="14"/>
      <c r="C626" s="3"/>
      <c r="D626" s="10"/>
      <c r="E626" s="2"/>
      <c r="F626" s="2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7"/>
      <c r="B627" s="14"/>
      <c r="C627" s="3"/>
      <c r="D627" s="10"/>
      <c r="E627" s="2"/>
      <c r="F627" s="2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7"/>
      <c r="B628" s="14"/>
      <c r="C628" s="3"/>
      <c r="D628" s="10"/>
      <c r="E628" s="2"/>
      <c r="F628" s="2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7"/>
      <c r="B629" s="14"/>
      <c r="C629" s="3"/>
      <c r="D629" s="10"/>
      <c r="E629" s="2"/>
      <c r="F629" s="2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7"/>
      <c r="B630" s="14"/>
      <c r="C630" s="3"/>
      <c r="D630" s="10"/>
      <c r="E630" s="2"/>
      <c r="F630" s="2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7"/>
      <c r="B631" s="14"/>
      <c r="C631" s="3"/>
      <c r="D631" s="10"/>
      <c r="E631" s="2"/>
      <c r="F631" s="2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7"/>
      <c r="B632" s="14"/>
      <c r="C632" s="3"/>
      <c r="D632" s="10"/>
      <c r="E632" s="2"/>
      <c r="F632" s="2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7"/>
      <c r="B633" s="14"/>
      <c r="C633" s="3"/>
      <c r="D633" s="10"/>
      <c r="E633" s="2"/>
      <c r="F633" s="2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7"/>
      <c r="B634" s="14"/>
      <c r="C634" s="3"/>
      <c r="D634" s="10"/>
      <c r="E634" s="2"/>
      <c r="F634" s="2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7"/>
      <c r="B635" s="14"/>
      <c r="C635" s="3"/>
      <c r="D635" s="10"/>
      <c r="E635" s="2"/>
      <c r="F635" s="2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7"/>
      <c r="B636" s="14"/>
      <c r="C636" s="3"/>
      <c r="D636" s="10"/>
      <c r="E636" s="2"/>
      <c r="F636" s="2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7"/>
      <c r="B637" s="14"/>
      <c r="C637" s="3"/>
      <c r="D637" s="10"/>
      <c r="E637" s="2"/>
      <c r="F637" s="2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7"/>
      <c r="B638" s="14"/>
      <c r="C638" s="3"/>
      <c r="D638" s="10"/>
      <c r="E638" s="2"/>
      <c r="F638" s="2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7"/>
      <c r="B639" s="14"/>
      <c r="C639" s="3"/>
      <c r="D639" s="10"/>
      <c r="E639" s="2"/>
      <c r="F639" s="2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7"/>
      <c r="B640" s="14"/>
      <c r="C640" s="3"/>
      <c r="D640" s="10"/>
      <c r="E640" s="2"/>
      <c r="F640" s="2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7"/>
      <c r="B641" s="14"/>
      <c r="C641" s="3"/>
      <c r="D641" s="10"/>
      <c r="E641" s="2"/>
      <c r="F641" s="2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7"/>
      <c r="B642" s="14"/>
      <c r="C642" s="3"/>
      <c r="D642" s="10"/>
      <c r="E642" s="2"/>
      <c r="F642" s="2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7"/>
      <c r="B643" s="14"/>
      <c r="C643" s="3"/>
      <c r="D643" s="10"/>
      <c r="E643" s="2"/>
      <c r="F643" s="2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7"/>
      <c r="B644" s="14"/>
      <c r="C644" s="3"/>
      <c r="D644" s="10"/>
      <c r="E644" s="2"/>
      <c r="F644" s="2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7"/>
      <c r="B645" s="14"/>
      <c r="C645" s="3"/>
      <c r="D645" s="10"/>
      <c r="E645" s="2"/>
      <c r="F645" s="2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7"/>
      <c r="B646" s="14"/>
      <c r="C646" s="3"/>
      <c r="D646" s="10"/>
      <c r="E646" s="2"/>
      <c r="F646" s="2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7"/>
      <c r="B647" s="14"/>
      <c r="C647" s="3"/>
      <c r="D647" s="10"/>
      <c r="E647" s="2"/>
      <c r="F647" s="2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7"/>
      <c r="B648" s="14"/>
      <c r="C648" s="3"/>
      <c r="D648" s="10"/>
      <c r="E648" s="2"/>
      <c r="F648" s="2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7"/>
      <c r="B649" s="14"/>
      <c r="C649" s="3"/>
      <c r="D649" s="10"/>
      <c r="E649" s="2"/>
      <c r="F649" s="2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7"/>
      <c r="B650" s="14"/>
      <c r="C650" s="3"/>
      <c r="D650" s="10"/>
      <c r="E650" s="2"/>
      <c r="F650" s="2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7"/>
      <c r="B651" s="14"/>
      <c r="C651" s="3"/>
      <c r="D651" s="10"/>
      <c r="E651" s="2"/>
      <c r="F651" s="2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7"/>
      <c r="B652" s="14"/>
      <c r="C652" s="3"/>
      <c r="D652" s="10"/>
      <c r="E652" s="2"/>
      <c r="F652" s="2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7"/>
      <c r="B653" s="14"/>
      <c r="C653" s="3"/>
      <c r="D653" s="10"/>
      <c r="E653" s="2"/>
      <c r="F653" s="2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7"/>
      <c r="B654" s="14"/>
      <c r="C654" s="3"/>
      <c r="D654" s="10"/>
      <c r="E654" s="2"/>
      <c r="F654" s="2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7"/>
      <c r="B655" s="14"/>
      <c r="C655" s="3"/>
      <c r="D655" s="10"/>
      <c r="E655" s="2"/>
      <c r="F655" s="2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7"/>
      <c r="B656" s="14"/>
      <c r="C656" s="3"/>
      <c r="D656" s="10"/>
      <c r="E656" s="2"/>
      <c r="F656" s="2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7"/>
      <c r="B657" s="14"/>
      <c r="C657" s="3"/>
      <c r="D657" s="10"/>
      <c r="E657" s="2"/>
      <c r="F657" s="2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7"/>
      <c r="B658" s="14"/>
      <c r="C658" s="3"/>
      <c r="D658" s="10"/>
      <c r="E658" s="2"/>
      <c r="F658" s="2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7"/>
      <c r="B659" s="14"/>
      <c r="C659" s="3"/>
      <c r="D659" s="10"/>
      <c r="E659" s="2"/>
      <c r="F659" s="2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7"/>
      <c r="B660" s="14"/>
      <c r="C660" s="3"/>
      <c r="D660" s="10"/>
      <c r="E660" s="2"/>
      <c r="F660" s="2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7"/>
      <c r="B661" s="14"/>
      <c r="C661" s="3"/>
      <c r="D661" s="10"/>
      <c r="E661" s="2"/>
      <c r="F661" s="2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7"/>
      <c r="B662" s="14"/>
      <c r="C662" s="3"/>
      <c r="D662" s="10"/>
      <c r="E662" s="2"/>
      <c r="F662" s="2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7"/>
      <c r="B663" s="14"/>
      <c r="C663" s="3"/>
      <c r="D663" s="10"/>
      <c r="E663" s="2"/>
      <c r="F663" s="2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7"/>
      <c r="B664" s="14"/>
      <c r="C664" s="3"/>
      <c r="D664" s="10"/>
      <c r="E664" s="2"/>
      <c r="F664" s="2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7"/>
      <c r="B665" s="14"/>
      <c r="C665" s="3"/>
      <c r="D665" s="10"/>
      <c r="E665" s="2"/>
      <c r="F665" s="2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7"/>
      <c r="B666" s="14"/>
      <c r="C666" s="3"/>
      <c r="D666" s="10"/>
      <c r="E666" s="2"/>
      <c r="F666" s="2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7"/>
      <c r="B667" s="14"/>
      <c r="C667" s="3"/>
      <c r="D667" s="10"/>
      <c r="E667" s="2"/>
      <c r="F667" s="2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7"/>
      <c r="B668" s="14"/>
      <c r="C668" s="3"/>
      <c r="D668" s="10"/>
      <c r="E668" s="2"/>
      <c r="F668" s="2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7"/>
      <c r="B669" s="14"/>
      <c r="C669" s="3"/>
      <c r="D669" s="10"/>
      <c r="E669" s="2"/>
      <c r="F669" s="2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7"/>
      <c r="B670" s="14"/>
      <c r="C670" s="3"/>
      <c r="D670" s="10"/>
      <c r="E670" s="2"/>
      <c r="F670" s="2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7"/>
      <c r="B671" s="14"/>
      <c r="C671" s="3"/>
      <c r="D671" s="10"/>
      <c r="E671" s="2"/>
      <c r="F671" s="2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7"/>
      <c r="B672" s="14"/>
      <c r="C672" s="3"/>
      <c r="D672" s="10"/>
      <c r="E672" s="2"/>
      <c r="F672" s="2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7"/>
      <c r="B673" s="14"/>
      <c r="C673" s="3"/>
      <c r="D673" s="10"/>
      <c r="E673" s="2"/>
      <c r="F673" s="2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7"/>
      <c r="B674" s="14"/>
      <c r="C674" s="3"/>
      <c r="D674" s="10"/>
      <c r="E674" s="2"/>
      <c r="F674" s="2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7"/>
      <c r="B675" s="14"/>
      <c r="C675" s="3"/>
      <c r="D675" s="10"/>
      <c r="E675" s="2"/>
      <c r="F675" s="2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7"/>
      <c r="B676" s="14"/>
      <c r="C676" s="3"/>
      <c r="D676" s="10"/>
      <c r="E676" s="2"/>
      <c r="F676" s="2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7"/>
      <c r="B677" s="14"/>
      <c r="C677" s="3"/>
      <c r="D677" s="10"/>
      <c r="E677" s="2"/>
      <c r="F677" s="2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7"/>
      <c r="B678" s="14"/>
      <c r="C678" s="3"/>
      <c r="D678" s="10"/>
      <c r="E678" s="2"/>
      <c r="F678" s="2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7"/>
      <c r="B679" s="14"/>
      <c r="C679" s="3"/>
      <c r="D679" s="10"/>
      <c r="E679" s="2"/>
      <c r="F679" s="2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7"/>
      <c r="B680" s="14"/>
      <c r="C680" s="3"/>
      <c r="D680" s="10"/>
      <c r="E680" s="2"/>
      <c r="F680" s="2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7"/>
      <c r="B681" s="14"/>
      <c r="C681" s="3"/>
      <c r="D681" s="10"/>
      <c r="E681" s="2"/>
      <c r="F681" s="2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7"/>
      <c r="B682" s="14"/>
      <c r="C682" s="3"/>
      <c r="D682" s="10"/>
      <c r="E682" s="2"/>
      <c r="F682" s="2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7"/>
      <c r="B683" s="14"/>
      <c r="C683" s="3"/>
      <c r="D683" s="10"/>
      <c r="E683" s="2"/>
      <c r="F683" s="2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7"/>
      <c r="B684" s="14"/>
      <c r="C684" s="3"/>
      <c r="D684" s="10"/>
      <c r="E684" s="2"/>
      <c r="F684" s="2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7"/>
      <c r="B685" s="14"/>
      <c r="C685" s="3"/>
      <c r="D685" s="10"/>
      <c r="E685" s="2"/>
      <c r="F685" s="2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7"/>
      <c r="B686" s="14"/>
      <c r="C686" s="3"/>
      <c r="D686" s="10"/>
      <c r="E686" s="2"/>
      <c r="F686" s="2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7"/>
      <c r="B687" s="14"/>
      <c r="C687" s="3"/>
      <c r="D687" s="10"/>
      <c r="E687" s="2"/>
      <c r="F687" s="2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7"/>
      <c r="B688" s="14"/>
      <c r="C688" s="3"/>
      <c r="D688" s="10"/>
      <c r="E688" s="2"/>
      <c r="F688" s="2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7"/>
      <c r="B689" s="14"/>
      <c r="C689" s="3"/>
      <c r="D689" s="10"/>
      <c r="E689" s="2"/>
      <c r="F689" s="2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7"/>
      <c r="B690" s="14"/>
      <c r="C690" s="3"/>
      <c r="D690" s="10"/>
      <c r="E690" s="2"/>
      <c r="F690" s="2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7"/>
      <c r="B691" s="14"/>
      <c r="C691" s="3"/>
      <c r="D691" s="10"/>
      <c r="E691" s="2"/>
      <c r="F691" s="2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7"/>
      <c r="B692" s="14"/>
      <c r="C692" s="3"/>
      <c r="D692" s="10"/>
      <c r="E692" s="2"/>
      <c r="F692" s="2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7"/>
      <c r="B693" s="14"/>
      <c r="C693" s="3"/>
      <c r="D693" s="10"/>
      <c r="E693" s="2"/>
      <c r="F693" s="2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7"/>
      <c r="B694" s="14"/>
      <c r="C694" s="3"/>
      <c r="D694" s="10"/>
      <c r="E694" s="2"/>
      <c r="F694" s="2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7"/>
      <c r="B695" s="14"/>
      <c r="C695" s="3"/>
      <c r="D695" s="10"/>
      <c r="E695" s="2"/>
      <c r="F695" s="2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7"/>
      <c r="B696" s="14"/>
      <c r="C696" s="3"/>
      <c r="D696" s="10"/>
      <c r="E696" s="2"/>
      <c r="F696" s="2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7"/>
      <c r="B697" s="14"/>
      <c r="C697" s="3"/>
      <c r="D697" s="10"/>
      <c r="E697" s="2"/>
      <c r="F697" s="2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7"/>
      <c r="B698" s="14"/>
      <c r="C698" s="3"/>
      <c r="D698" s="10"/>
      <c r="E698" s="2"/>
      <c r="F698" s="2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7"/>
      <c r="B699" s="14"/>
      <c r="C699" s="3"/>
      <c r="D699" s="10"/>
      <c r="E699" s="2"/>
      <c r="F699" s="2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7"/>
      <c r="B700" s="14"/>
      <c r="C700" s="3"/>
      <c r="D700" s="10"/>
      <c r="E700" s="2"/>
      <c r="F700" s="2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7"/>
      <c r="B701" s="14"/>
      <c r="C701" s="3"/>
      <c r="D701" s="10"/>
      <c r="E701" s="2"/>
      <c r="F701" s="2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7"/>
      <c r="B702" s="14"/>
      <c r="C702" s="3"/>
      <c r="D702" s="10"/>
      <c r="E702" s="2"/>
      <c r="F702" s="2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7"/>
      <c r="B703" s="14"/>
      <c r="C703" s="3"/>
      <c r="D703" s="10"/>
      <c r="E703" s="2"/>
      <c r="F703" s="2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7"/>
      <c r="B704" s="14"/>
      <c r="C704" s="3"/>
      <c r="D704" s="10"/>
      <c r="E704" s="2"/>
      <c r="F704" s="2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7"/>
      <c r="B705" s="14"/>
      <c r="C705" s="3"/>
      <c r="D705" s="10"/>
      <c r="E705" s="2"/>
      <c r="F705" s="2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7"/>
      <c r="B706" s="14"/>
      <c r="C706" s="3"/>
      <c r="D706" s="10"/>
      <c r="E706" s="2"/>
      <c r="F706" s="2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7"/>
      <c r="B707" s="14"/>
      <c r="C707" s="3"/>
      <c r="D707" s="10"/>
      <c r="E707" s="2"/>
      <c r="F707" s="2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7"/>
      <c r="B708" s="14"/>
      <c r="C708" s="3"/>
      <c r="D708" s="10"/>
      <c r="E708" s="2"/>
      <c r="F708" s="2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7"/>
      <c r="B709" s="14"/>
      <c r="C709" s="3"/>
      <c r="D709" s="10"/>
      <c r="E709" s="2"/>
      <c r="F709" s="2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7"/>
      <c r="B710" s="14"/>
      <c r="C710" s="3"/>
      <c r="D710" s="10"/>
      <c r="E710" s="2"/>
      <c r="F710" s="2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7"/>
      <c r="B711" s="14"/>
      <c r="C711" s="3"/>
      <c r="D711" s="10"/>
      <c r="E711" s="2"/>
      <c r="F711" s="2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7"/>
      <c r="B712" s="14"/>
      <c r="C712" s="3"/>
      <c r="D712" s="10"/>
      <c r="E712" s="2"/>
      <c r="F712" s="2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7"/>
      <c r="B713" s="14"/>
      <c r="C713" s="3"/>
      <c r="D713" s="10"/>
      <c r="E713" s="2"/>
      <c r="F713" s="2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7"/>
      <c r="B714" s="14"/>
      <c r="C714" s="3"/>
      <c r="D714" s="10"/>
      <c r="E714" s="2"/>
      <c r="F714" s="2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7"/>
      <c r="B715" s="14"/>
      <c r="C715" s="3"/>
      <c r="D715" s="10"/>
      <c r="E715" s="2"/>
      <c r="F715" s="2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7"/>
      <c r="B716" s="14"/>
      <c r="C716" s="3"/>
      <c r="D716" s="10"/>
      <c r="E716" s="2"/>
      <c r="F716" s="2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7"/>
      <c r="B717" s="14"/>
      <c r="C717" s="3"/>
      <c r="D717" s="10"/>
      <c r="E717" s="2"/>
      <c r="F717" s="2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7"/>
      <c r="B718" s="14"/>
      <c r="C718" s="3"/>
      <c r="D718" s="10"/>
      <c r="E718" s="2"/>
      <c r="F718" s="2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7"/>
      <c r="B719" s="14"/>
      <c r="C719" s="3"/>
      <c r="D719" s="10"/>
      <c r="E719" s="2"/>
      <c r="F719" s="2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7"/>
      <c r="B720" s="14"/>
      <c r="C720" s="3"/>
      <c r="D720" s="10"/>
      <c r="E720" s="2"/>
      <c r="F720" s="2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7"/>
      <c r="B721" s="14"/>
      <c r="C721" s="3"/>
      <c r="D721" s="10"/>
      <c r="E721" s="2"/>
      <c r="F721" s="2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7"/>
      <c r="B722" s="14"/>
      <c r="C722" s="3"/>
      <c r="D722" s="10"/>
      <c r="E722" s="2"/>
      <c r="F722" s="2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7"/>
      <c r="B723" s="14"/>
      <c r="C723" s="3"/>
      <c r="D723" s="10"/>
      <c r="E723" s="2"/>
      <c r="F723" s="2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7"/>
      <c r="B724" s="14"/>
      <c r="C724" s="3"/>
      <c r="D724" s="10"/>
      <c r="E724" s="2"/>
      <c r="F724" s="2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7"/>
      <c r="B725" s="14"/>
      <c r="C725" s="3"/>
      <c r="D725" s="10"/>
      <c r="E725" s="2"/>
      <c r="F725" s="2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7"/>
      <c r="B726" s="14"/>
      <c r="C726" s="3"/>
      <c r="D726" s="10"/>
      <c r="E726" s="2"/>
      <c r="F726" s="2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7"/>
      <c r="B727" s="14"/>
      <c r="C727" s="3"/>
      <c r="D727" s="10"/>
      <c r="E727" s="2"/>
      <c r="F727" s="2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7"/>
      <c r="B728" s="14"/>
      <c r="C728" s="3"/>
      <c r="D728" s="10"/>
      <c r="E728" s="2"/>
      <c r="F728" s="2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7"/>
      <c r="B729" s="14"/>
      <c r="C729" s="3"/>
      <c r="D729" s="10"/>
      <c r="E729" s="2"/>
      <c r="F729" s="2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7"/>
      <c r="B730" s="14"/>
      <c r="C730" s="3"/>
      <c r="D730" s="10"/>
      <c r="E730" s="2"/>
      <c r="F730" s="2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7"/>
      <c r="B731" s="14"/>
      <c r="C731" s="3"/>
      <c r="D731" s="10"/>
      <c r="E731" s="2"/>
      <c r="F731" s="2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7"/>
      <c r="B732" s="14"/>
      <c r="C732" s="3"/>
      <c r="D732" s="10"/>
      <c r="E732" s="2"/>
      <c r="F732" s="2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7"/>
      <c r="B733" s="14"/>
      <c r="C733" s="3"/>
      <c r="D733" s="10"/>
      <c r="E733" s="2"/>
      <c r="F733" s="2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7"/>
      <c r="B734" s="14"/>
      <c r="C734" s="3"/>
      <c r="D734" s="10"/>
      <c r="E734" s="2"/>
      <c r="F734" s="2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7"/>
      <c r="B735" s="14"/>
      <c r="C735" s="3"/>
      <c r="D735" s="10"/>
      <c r="E735" s="2"/>
      <c r="F735" s="2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7"/>
      <c r="B736" s="14"/>
      <c r="C736" s="3"/>
      <c r="D736" s="10"/>
      <c r="E736" s="2"/>
      <c r="F736" s="2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7"/>
      <c r="B737" s="14"/>
      <c r="C737" s="3"/>
      <c r="D737" s="10"/>
      <c r="E737" s="2"/>
      <c r="F737" s="2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7"/>
      <c r="B738" s="14"/>
      <c r="C738" s="3"/>
      <c r="D738" s="10"/>
      <c r="E738" s="2"/>
      <c r="F738" s="2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7"/>
      <c r="B739" s="14"/>
      <c r="C739" s="3"/>
      <c r="D739" s="10"/>
      <c r="E739" s="2"/>
      <c r="F739" s="2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7"/>
      <c r="B740" s="14"/>
      <c r="C740" s="3"/>
      <c r="D740" s="10"/>
      <c r="E740" s="2"/>
      <c r="F740" s="2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7"/>
      <c r="B741" s="14"/>
      <c r="C741" s="3"/>
      <c r="D741" s="10"/>
      <c r="E741" s="2"/>
      <c r="F741" s="2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7"/>
      <c r="B742" s="14"/>
      <c r="C742" s="3"/>
      <c r="D742" s="10"/>
      <c r="E742" s="2"/>
      <c r="F742" s="2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7"/>
      <c r="B743" s="14"/>
      <c r="C743" s="3"/>
      <c r="D743" s="10"/>
      <c r="E743" s="2"/>
      <c r="F743" s="2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7"/>
      <c r="B744" s="14"/>
      <c r="C744" s="3"/>
      <c r="D744" s="10"/>
      <c r="E744" s="2"/>
      <c r="F744" s="2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7"/>
      <c r="B745" s="14"/>
      <c r="C745" s="3"/>
      <c r="D745" s="10"/>
      <c r="E745" s="2"/>
      <c r="F745" s="2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7"/>
      <c r="B746" s="14"/>
      <c r="C746" s="3"/>
      <c r="D746" s="10"/>
      <c r="E746" s="2"/>
      <c r="F746" s="2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7"/>
      <c r="B747" s="14"/>
      <c r="C747" s="3"/>
      <c r="D747" s="10"/>
      <c r="E747" s="2"/>
      <c r="F747" s="2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7"/>
      <c r="B748" s="14"/>
      <c r="C748" s="3"/>
      <c r="D748" s="10"/>
      <c r="E748" s="2"/>
      <c r="F748" s="2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7"/>
      <c r="B749" s="14"/>
      <c r="C749" s="3"/>
      <c r="D749" s="10"/>
      <c r="E749" s="2"/>
      <c r="F749" s="2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7"/>
      <c r="B750" s="14"/>
      <c r="C750" s="3"/>
      <c r="D750" s="10"/>
      <c r="E750" s="2"/>
      <c r="F750" s="2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7"/>
      <c r="B751" s="14"/>
      <c r="C751" s="3"/>
      <c r="D751" s="10"/>
      <c r="E751" s="2"/>
      <c r="F751" s="2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7"/>
      <c r="B752" s="14"/>
      <c r="C752" s="3"/>
      <c r="D752" s="10"/>
      <c r="E752" s="2"/>
      <c r="F752" s="2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7"/>
      <c r="B753" s="14"/>
      <c r="C753" s="3"/>
      <c r="D753" s="10"/>
      <c r="E753" s="2"/>
      <c r="F753" s="2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7"/>
      <c r="B754" s="14"/>
      <c r="C754" s="3"/>
      <c r="D754" s="10"/>
      <c r="E754" s="2"/>
      <c r="F754" s="2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7"/>
      <c r="B755" s="14"/>
      <c r="C755" s="3"/>
      <c r="D755" s="10"/>
      <c r="E755" s="2"/>
      <c r="F755" s="2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7"/>
      <c r="B756" s="14"/>
      <c r="C756" s="3"/>
      <c r="D756" s="10"/>
      <c r="E756" s="2"/>
      <c r="F756" s="2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7"/>
      <c r="B757" s="14"/>
      <c r="C757" s="3"/>
      <c r="D757" s="10"/>
      <c r="E757" s="2"/>
      <c r="F757" s="2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7"/>
      <c r="B758" s="14"/>
      <c r="C758" s="3"/>
      <c r="D758" s="10"/>
      <c r="E758" s="2"/>
      <c r="F758" s="2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7"/>
      <c r="B759" s="14"/>
      <c r="C759" s="3"/>
      <c r="D759" s="10"/>
      <c r="E759" s="2"/>
      <c r="F759" s="2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7"/>
      <c r="B760" s="14"/>
      <c r="C760" s="3"/>
      <c r="D760" s="10"/>
      <c r="E760" s="2"/>
      <c r="F760" s="2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7"/>
      <c r="B761" s="14"/>
      <c r="C761" s="3"/>
      <c r="D761" s="10"/>
      <c r="E761" s="2"/>
      <c r="F761" s="2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7"/>
      <c r="B762" s="14"/>
      <c r="C762" s="3"/>
      <c r="D762" s="10"/>
      <c r="E762" s="2"/>
      <c r="F762" s="2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7"/>
      <c r="B763" s="14"/>
      <c r="C763" s="3"/>
      <c r="D763" s="10"/>
      <c r="E763" s="2"/>
      <c r="F763" s="2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7"/>
      <c r="B764" s="14"/>
      <c r="C764" s="3"/>
      <c r="D764" s="10"/>
      <c r="E764" s="2"/>
      <c r="F764" s="2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7"/>
      <c r="B765" s="14"/>
      <c r="C765" s="3"/>
      <c r="D765" s="10"/>
      <c r="E765" s="2"/>
      <c r="F765" s="2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7"/>
      <c r="B766" s="14"/>
      <c r="C766" s="3"/>
      <c r="D766" s="10"/>
      <c r="E766" s="2"/>
      <c r="F766" s="2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7"/>
      <c r="B767" s="14"/>
      <c r="C767" s="3"/>
      <c r="D767" s="10"/>
      <c r="E767" s="2"/>
      <c r="F767" s="2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7"/>
      <c r="B768" s="14"/>
      <c r="C768" s="3"/>
      <c r="D768" s="10"/>
      <c r="E768" s="2"/>
      <c r="F768" s="2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7"/>
      <c r="B769" s="14"/>
      <c r="C769" s="3"/>
      <c r="D769" s="10"/>
      <c r="E769" s="2"/>
      <c r="F769" s="2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7"/>
      <c r="B770" s="14"/>
      <c r="C770" s="3"/>
      <c r="D770" s="10"/>
      <c r="E770" s="2"/>
      <c r="F770" s="2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7"/>
      <c r="B771" s="14"/>
      <c r="C771" s="3"/>
      <c r="D771" s="10"/>
      <c r="E771" s="2"/>
      <c r="F771" s="2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7"/>
      <c r="B772" s="14"/>
      <c r="C772" s="3"/>
      <c r="D772" s="10"/>
      <c r="E772" s="2"/>
      <c r="F772" s="2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7"/>
      <c r="B773" s="14"/>
      <c r="C773" s="3"/>
      <c r="D773" s="10"/>
      <c r="E773" s="2"/>
      <c r="F773" s="2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7"/>
      <c r="B774" s="14"/>
      <c r="C774" s="3"/>
      <c r="D774" s="10"/>
      <c r="E774" s="2"/>
      <c r="F774" s="2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7"/>
      <c r="B775" s="14"/>
      <c r="C775" s="3"/>
      <c r="D775" s="10"/>
      <c r="E775" s="2"/>
      <c r="F775" s="2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7"/>
      <c r="B776" s="14"/>
      <c r="C776" s="3"/>
      <c r="D776" s="10"/>
      <c r="E776" s="2"/>
      <c r="F776" s="2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7"/>
      <c r="B777" s="14"/>
      <c r="C777" s="3"/>
      <c r="D777" s="10"/>
      <c r="E777" s="2"/>
      <c r="F777" s="2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7"/>
      <c r="B778" s="14"/>
      <c r="C778" s="3"/>
      <c r="D778" s="10"/>
      <c r="E778" s="2"/>
      <c r="F778" s="2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7"/>
      <c r="B779" s="14"/>
      <c r="C779" s="3"/>
      <c r="D779" s="10"/>
      <c r="E779" s="2"/>
      <c r="F779" s="2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7"/>
      <c r="B780" s="14"/>
      <c r="C780" s="3"/>
      <c r="D780" s="10"/>
      <c r="E780" s="2"/>
      <c r="F780" s="2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7"/>
      <c r="B781" s="14"/>
      <c r="C781" s="3"/>
      <c r="D781" s="10"/>
      <c r="E781" s="2"/>
      <c r="F781" s="2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7"/>
      <c r="B782" s="14"/>
      <c r="C782" s="3"/>
      <c r="D782" s="10"/>
      <c r="E782" s="2"/>
      <c r="F782" s="2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7"/>
      <c r="B783" s="14"/>
      <c r="C783" s="3"/>
      <c r="D783" s="10"/>
      <c r="E783" s="2"/>
      <c r="F783" s="2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7"/>
      <c r="B784" s="14"/>
      <c r="C784" s="3"/>
      <c r="D784" s="10"/>
      <c r="E784" s="2"/>
      <c r="F784" s="2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7"/>
      <c r="B785" s="14"/>
      <c r="C785" s="3"/>
      <c r="D785" s="10"/>
      <c r="E785" s="2"/>
      <c r="F785" s="2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7"/>
      <c r="B786" s="14"/>
      <c r="C786" s="3"/>
      <c r="D786" s="10"/>
      <c r="E786" s="2"/>
      <c r="F786" s="2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7"/>
      <c r="B787" s="14"/>
      <c r="C787" s="3"/>
      <c r="D787" s="10"/>
      <c r="E787" s="2"/>
      <c r="F787" s="2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7"/>
      <c r="B788" s="14"/>
      <c r="C788" s="3"/>
      <c r="D788" s="10"/>
      <c r="E788" s="2"/>
      <c r="F788" s="2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7"/>
      <c r="B789" s="14"/>
      <c r="C789" s="3"/>
      <c r="D789" s="10"/>
      <c r="E789" s="2"/>
      <c r="F789" s="2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7"/>
      <c r="B790" s="14"/>
      <c r="C790" s="3"/>
      <c r="D790" s="10"/>
      <c r="E790" s="2"/>
      <c r="F790" s="2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7"/>
      <c r="B791" s="14"/>
      <c r="C791" s="3"/>
      <c r="D791" s="10"/>
      <c r="E791" s="2"/>
      <c r="F791" s="2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7"/>
      <c r="B792" s="14"/>
      <c r="C792" s="3"/>
      <c r="D792" s="10"/>
      <c r="E792" s="2"/>
      <c r="F792" s="2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7"/>
      <c r="B793" s="14"/>
      <c r="C793" s="3"/>
      <c r="D793" s="10"/>
      <c r="E793" s="2"/>
      <c r="F793" s="2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7"/>
      <c r="B794" s="14"/>
      <c r="C794" s="3"/>
      <c r="D794" s="10"/>
      <c r="E794" s="2"/>
      <c r="F794" s="2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7"/>
      <c r="B795" s="14"/>
      <c r="C795" s="3"/>
      <c r="D795" s="10"/>
      <c r="E795" s="2"/>
      <c r="F795" s="2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7"/>
      <c r="B796" s="14"/>
      <c r="C796" s="3"/>
      <c r="D796" s="10"/>
      <c r="E796" s="2"/>
      <c r="F796" s="2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7"/>
      <c r="B797" s="14"/>
      <c r="C797" s="3"/>
      <c r="D797" s="10"/>
      <c r="E797" s="2"/>
      <c r="F797" s="2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7"/>
      <c r="B798" s="14"/>
      <c r="C798" s="3"/>
      <c r="D798" s="10"/>
      <c r="E798" s="2"/>
      <c r="F798" s="2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7"/>
      <c r="B799" s="14"/>
      <c r="C799" s="3"/>
      <c r="D799" s="10"/>
      <c r="E799" s="2"/>
      <c r="F799" s="2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7"/>
      <c r="B800" s="14"/>
      <c r="C800" s="3"/>
      <c r="D800" s="10"/>
      <c r="E800" s="2"/>
      <c r="F800" s="2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7"/>
      <c r="B801" s="14"/>
      <c r="C801" s="3"/>
      <c r="D801" s="10"/>
      <c r="E801" s="2"/>
      <c r="F801" s="2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7"/>
      <c r="B802" s="14"/>
      <c r="C802" s="3"/>
      <c r="D802" s="10"/>
      <c r="E802" s="2"/>
      <c r="F802" s="2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7"/>
      <c r="B803" s="14"/>
      <c r="C803" s="3"/>
      <c r="D803" s="10"/>
      <c r="E803" s="2"/>
      <c r="F803" s="2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7"/>
      <c r="B804" s="14"/>
      <c r="C804" s="3"/>
      <c r="D804" s="10"/>
      <c r="E804" s="2"/>
      <c r="F804" s="2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7"/>
      <c r="B805" s="14"/>
      <c r="C805" s="3"/>
      <c r="D805" s="10"/>
      <c r="E805" s="2"/>
      <c r="F805" s="2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7"/>
      <c r="B806" s="14"/>
      <c r="C806" s="3"/>
      <c r="D806" s="10"/>
      <c r="E806" s="2"/>
      <c r="F806" s="2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7"/>
      <c r="B807" s="14"/>
      <c r="C807" s="3"/>
      <c r="D807" s="10"/>
      <c r="E807" s="2"/>
      <c r="F807" s="2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7"/>
      <c r="B808" s="14"/>
      <c r="C808" s="3"/>
      <c r="D808" s="10"/>
      <c r="E808" s="2"/>
      <c r="F808" s="2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7"/>
      <c r="B809" s="14"/>
      <c r="C809" s="3"/>
      <c r="D809" s="10"/>
      <c r="E809" s="2"/>
      <c r="F809" s="2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7"/>
      <c r="B810" s="14"/>
      <c r="C810" s="3"/>
      <c r="D810" s="10"/>
      <c r="E810" s="2"/>
      <c r="F810" s="2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7"/>
      <c r="B811" s="14"/>
      <c r="C811" s="3"/>
      <c r="D811" s="10"/>
      <c r="E811" s="2"/>
      <c r="F811" s="2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7"/>
      <c r="B812" s="14"/>
      <c r="C812" s="3"/>
      <c r="D812" s="10"/>
      <c r="E812" s="2"/>
      <c r="F812" s="2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7"/>
      <c r="B813" s="14"/>
      <c r="C813" s="3"/>
      <c r="D813" s="10"/>
      <c r="E813" s="2"/>
      <c r="F813" s="2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7"/>
      <c r="B814" s="14"/>
      <c r="C814" s="3"/>
      <c r="D814" s="10"/>
      <c r="E814" s="2"/>
      <c r="F814" s="2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7"/>
      <c r="B815" s="14"/>
      <c r="C815" s="3"/>
      <c r="D815" s="10"/>
      <c r="E815" s="2"/>
      <c r="F815" s="2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7"/>
      <c r="B816" s="14"/>
      <c r="C816" s="3"/>
      <c r="D816" s="10"/>
      <c r="E816" s="2"/>
      <c r="F816" s="2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7"/>
      <c r="B817" s="14"/>
      <c r="C817" s="3"/>
      <c r="D817" s="10"/>
      <c r="E817" s="2"/>
      <c r="F817" s="2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7"/>
      <c r="B818" s="14"/>
      <c r="C818" s="3"/>
      <c r="D818" s="10"/>
      <c r="E818" s="2"/>
      <c r="F818" s="2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7"/>
      <c r="B819" s="14"/>
      <c r="C819" s="3"/>
      <c r="D819" s="10"/>
      <c r="E819" s="2"/>
      <c r="F819" s="2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7"/>
      <c r="B820" s="14"/>
      <c r="C820" s="3"/>
      <c r="D820" s="10"/>
      <c r="E820" s="2"/>
      <c r="F820" s="2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7"/>
      <c r="B821" s="14"/>
      <c r="C821" s="3"/>
      <c r="D821" s="10"/>
      <c r="E821" s="2"/>
      <c r="F821" s="2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7"/>
      <c r="B822" s="14"/>
      <c r="C822" s="3"/>
      <c r="D822" s="10"/>
      <c r="E822" s="2"/>
      <c r="F822" s="2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7"/>
      <c r="B823" s="14"/>
      <c r="C823" s="3"/>
      <c r="D823" s="10"/>
      <c r="E823" s="2"/>
      <c r="F823" s="2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7"/>
      <c r="B824" s="14"/>
      <c r="C824" s="3"/>
      <c r="D824" s="10"/>
      <c r="E824" s="2"/>
      <c r="F824" s="2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7"/>
      <c r="B825" s="14"/>
      <c r="C825" s="3"/>
      <c r="D825" s="10"/>
      <c r="E825" s="2"/>
      <c r="F825" s="2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7"/>
      <c r="B826" s="14"/>
      <c r="C826" s="3"/>
      <c r="D826" s="10"/>
      <c r="E826" s="2"/>
      <c r="F826" s="2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7"/>
      <c r="B827" s="14"/>
      <c r="C827" s="3"/>
      <c r="D827" s="10"/>
      <c r="E827" s="2"/>
      <c r="F827" s="2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7"/>
      <c r="B828" s="14"/>
      <c r="C828" s="3"/>
      <c r="D828" s="10"/>
      <c r="E828" s="2"/>
      <c r="F828" s="2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7"/>
      <c r="B829" s="14"/>
      <c r="C829" s="3"/>
      <c r="D829" s="10"/>
      <c r="E829" s="2"/>
      <c r="F829" s="2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7"/>
      <c r="B830" s="14"/>
      <c r="C830" s="3"/>
      <c r="D830" s="10"/>
      <c r="E830" s="2"/>
      <c r="F830" s="2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7"/>
      <c r="B831" s="14"/>
      <c r="C831" s="3"/>
      <c r="D831" s="10"/>
      <c r="E831" s="2"/>
      <c r="F831" s="2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7"/>
      <c r="B832" s="14"/>
      <c r="C832" s="3"/>
      <c r="D832" s="10"/>
      <c r="E832" s="2"/>
      <c r="F832" s="2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7"/>
      <c r="B833" s="14"/>
      <c r="C833" s="3"/>
      <c r="D833" s="10"/>
      <c r="E833" s="2"/>
      <c r="F833" s="2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7"/>
      <c r="B834" s="14"/>
      <c r="C834" s="3"/>
      <c r="D834" s="10"/>
      <c r="E834" s="2"/>
      <c r="F834" s="2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7"/>
      <c r="B835" s="14"/>
      <c r="C835" s="3"/>
      <c r="D835" s="10"/>
      <c r="E835" s="2"/>
      <c r="F835" s="2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7"/>
      <c r="B836" s="14"/>
      <c r="C836" s="3"/>
      <c r="D836" s="10"/>
      <c r="E836" s="2"/>
      <c r="F836" s="2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7"/>
      <c r="B837" s="14"/>
      <c r="C837" s="3"/>
      <c r="D837" s="10"/>
      <c r="E837" s="2"/>
      <c r="F837" s="2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7"/>
      <c r="B838" s="14"/>
      <c r="C838" s="3"/>
      <c r="D838" s="10"/>
      <c r="E838" s="2"/>
      <c r="F838" s="2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7"/>
      <c r="B839" s="14"/>
      <c r="C839" s="3"/>
      <c r="D839" s="10"/>
      <c r="E839" s="2"/>
      <c r="F839" s="2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7"/>
      <c r="B840" s="14"/>
      <c r="C840" s="3"/>
      <c r="D840" s="10"/>
      <c r="E840" s="2"/>
      <c r="F840" s="2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7"/>
      <c r="B841" s="14"/>
      <c r="C841" s="3"/>
      <c r="D841" s="10"/>
      <c r="E841" s="2"/>
      <c r="F841" s="2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7"/>
      <c r="B842" s="14"/>
      <c r="C842" s="3"/>
      <c r="D842" s="10"/>
      <c r="E842" s="2"/>
      <c r="F842" s="2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7"/>
      <c r="B843" s="14"/>
      <c r="C843" s="3"/>
      <c r="D843" s="10"/>
      <c r="E843" s="2"/>
      <c r="F843" s="2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7"/>
      <c r="B844" s="14"/>
      <c r="C844" s="3"/>
      <c r="D844" s="10"/>
      <c r="E844" s="2"/>
      <c r="F844" s="2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7"/>
      <c r="B845" s="14"/>
      <c r="C845" s="3"/>
      <c r="D845" s="10"/>
      <c r="E845" s="2"/>
      <c r="F845" s="2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7"/>
      <c r="B846" s="14"/>
      <c r="C846" s="3"/>
      <c r="D846" s="10"/>
      <c r="E846" s="2"/>
      <c r="F846" s="2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7"/>
      <c r="B847" s="14"/>
      <c r="C847" s="3"/>
      <c r="D847" s="10"/>
      <c r="E847" s="2"/>
      <c r="F847" s="2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7"/>
      <c r="B848" s="14"/>
      <c r="C848" s="3"/>
      <c r="D848" s="10"/>
      <c r="E848" s="2"/>
      <c r="F848" s="2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7"/>
      <c r="B849" s="14"/>
      <c r="C849" s="3"/>
      <c r="D849" s="10"/>
      <c r="E849" s="2"/>
      <c r="F849" s="2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7"/>
      <c r="B850" s="14"/>
      <c r="C850" s="3"/>
      <c r="D850" s="10"/>
      <c r="E850" s="2"/>
      <c r="F850" s="2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7"/>
      <c r="B851" s="14"/>
      <c r="C851" s="3"/>
      <c r="D851" s="10"/>
      <c r="E851" s="2"/>
      <c r="F851" s="2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7"/>
      <c r="B852" s="14"/>
      <c r="C852" s="3"/>
      <c r="D852" s="10"/>
      <c r="E852" s="2"/>
      <c r="F852" s="2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7"/>
      <c r="B853" s="14"/>
      <c r="C853" s="3"/>
      <c r="D853" s="10"/>
      <c r="E853" s="2"/>
      <c r="F853" s="2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7"/>
      <c r="B854" s="14"/>
      <c r="C854" s="3"/>
      <c r="D854" s="10"/>
      <c r="E854" s="2"/>
      <c r="F854" s="2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7"/>
      <c r="B855" s="14"/>
      <c r="C855" s="3"/>
      <c r="D855" s="10"/>
      <c r="E855" s="2"/>
      <c r="F855" s="2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7"/>
      <c r="B856" s="14"/>
      <c r="C856" s="3"/>
      <c r="D856" s="10"/>
      <c r="E856" s="2"/>
      <c r="F856" s="2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7"/>
      <c r="B857" s="14"/>
      <c r="C857" s="3"/>
      <c r="D857" s="10"/>
      <c r="E857" s="2"/>
      <c r="F857" s="2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7"/>
      <c r="B858" s="14"/>
      <c r="C858" s="3"/>
      <c r="D858" s="10"/>
      <c r="E858" s="2"/>
      <c r="F858" s="2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7"/>
      <c r="B859" s="14"/>
      <c r="C859" s="3"/>
      <c r="D859" s="10"/>
      <c r="E859" s="2"/>
      <c r="F859" s="2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7"/>
      <c r="B860" s="14"/>
      <c r="C860" s="3"/>
      <c r="D860" s="10"/>
      <c r="E860" s="2"/>
      <c r="F860" s="2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7"/>
      <c r="B861" s="14"/>
      <c r="C861" s="3"/>
      <c r="D861" s="10"/>
      <c r="E861" s="2"/>
      <c r="F861" s="2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7"/>
      <c r="B862" s="14"/>
      <c r="C862" s="3"/>
      <c r="D862" s="10"/>
      <c r="E862" s="2"/>
      <c r="F862" s="2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7"/>
      <c r="B863" s="14"/>
      <c r="C863" s="3"/>
      <c r="D863" s="10"/>
      <c r="E863" s="2"/>
      <c r="F863" s="2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7"/>
      <c r="B864" s="14"/>
      <c r="C864" s="3"/>
      <c r="D864" s="10"/>
      <c r="E864" s="2"/>
      <c r="F864" s="2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7"/>
      <c r="B865" s="14"/>
      <c r="C865" s="3"/>
      <c r="D865" s="10"/>
      <c r="E865" s="2"/>
      <c r="F865" s="2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7"/>
      <c r="B866" s="14"/>
      <c r="C866" s="3"/>
      <c r="D866" s="10"/>
      <c r="E866" s="2"/>
      <c r="F866" s="2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7"/>
      <c r="B867" s="14"/>
      <c r="C867" s="3"/>
      <c r="D867" s="10"/>
      <c r="E867" s="2"/>
      <c r="F867" s="2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7"/>
      <c r="B868" s="14"/>
      <c r="C868" s="3"/>
      <c r="D868" s="10"/>
      <c r="E868" s="2"/>
      <c r="F868" s="2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7"/>
      <c r="B869" s="14"/>
      <c r="C869" s="3"/>
      <c r="D869" s="10"/>
      <c r="E869" s="2"/>
      <c r="F869" s="2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7"/>
      <c r="B870" s="14"/>
      <c r="C870" s="3"/>
      <c r="D870" s="10"/>
      <c r="E870" s="2"/>
      <c r="F870" s="2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7"/>
      <c r="B871" s="14"/>
      <c r="C871" s="3"/>
      <c r="D871" s="10"/>
      <c r="E871" s="2"/>
      <c r="F871" s="2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7"/>
      <c r="B872" s="14"/>
      <c r="C872" s="3"/>
      <c r="D872" s="10"/>
      <c r="E872" s="2"/>
      <c r="F872" s="2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7"/>
      <c r="B873" s="14"/>
      <c r="C873" s="3"/>
      <c r="D873" s="10"/>
      <c r="E873" s="2"/>
      <c r="F873" s="2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7"/>
      <c r="B874" s="14"/>
      <c r="C874" s="3"/>
      <c r="D874" s="10"/>
      <c r="E874" s="2"/>
      <c r="F874" s="2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7"/>
      <c r="B875" s="14"/>
      <c r="C875" s="3"/>
      <c r="D875" s="10"/>
      <c r="E875" s="2"/>
      <c r="F875" s="2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7"/>
      <c r="B876" s="14"/>
      <c r="C876" s="3"/>
      <c r="D876" s="10"/>
      <c r="E876" s="2"/>
      <c r="F876" s="2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7"/>
      <c r="B877" s="14"/>
      <c r="C877" s="3"/>
      <c r="D877" s="10"/>
      <c r="E877" s="2"/>
      <c r="F877" s="2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7"/>
      <c r="B878" s="14"/>
      <c r="C878" s="3"/>
      <c r="D878" s="10"/>
      <c r="E878" s="2"/>
      <c r="F878" s="2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7"/>
      <c r="B879" s="14"/>
      <c r="C879" s="3"/>
      <c r="D879" s="10"/>
      <c r="E879" s="2"/>
      <c r="F879" s="2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7"/>
      <c r="B880" s="14"/>
      <c r="C880" s="3"/>
      <c r="D880" s="10"/>
      <c r="E880" s="2"/>
      <c r="F880" s="2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7"/>
      <c r="B881" s="14"/>
      <c r="C881" s="3"/>
      <c r="D881" s="10"/>
      <c r="E881" s="2"/>
      <c r="F881" s="2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7"/>
      <c r="B882" s="14"/>
      <c r="C882" s="3"/>
      <c r="D882" s="10"/>
      <c r="E882" s="2"/>
      <c r="F882" s="2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7"/>
      <c r="B883" s="14"/>
      <c r="C883" s="3"/>
      <c r="D883" s="10"/>
      <c r="E883" s="2"/>
      <c r="F883" s="2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7"/>
      <c r="B884" s="14"/>
      <c r="C884" s="3"/>
      <c r="D884" s="10"/>
      <c r="E884" s="2"/>
      <c r="F884" s="2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7"/>
      <c r="B885" s="14"/>
      <c r="C885" s="3"/>
      <c r="D885" s="10"/>
      <c r="E885" s="2"/>
      <c r="F885" s="2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7"/>
      <c r="B886" s="14"/>
      <c r="C886" s="3"/>
      <c r="D886" s="10"/>
      <c r="E886" s="2"/>
      <c r="F886" s="2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7"/>
      <c r="B887" s="14"/>
      <c r="C887" s="3"/>
      <c r="D887" s="10"/>
      <c r="E887" s="2"/>
      <c r="F887" s="2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7"/>
      <c r="B888" s="14"/>
      <c r="C888" s="3"/>
      <c r="D888" s="10"/>
      <c r="E888" s="2"/>
      <c r="F888" s="2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7"/>
      <c r="B889" s="14"/>
      <c r="C889" s="3"/>
      <c r="D889" s="10"/>
      <c r="E889" s="2"/>
      <c r="F889" s="2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7"/>
      <c r="B890" s="14"/>
      <c r="C890" s="3"/>
      <c r="D890" s="10"/>
      <c r="E890" s="2"/>
      <c r="F890" s="2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7"/>
      <c r="B891" s="14"/>
      <c r="C891" s="3"/>
      <c r="D891" s="10"/>
      <c r="E891" s="2"/>
      <c r="F891" s="2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7"/>
      <c r="B892" s="14"/>
      <c r="C892" s="3"/>
      <c r="D892" s="10"/>
      <c r="E892" s="2"/>
      <c r="F892" s="2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7"/>
      <c r="B893" s="14"/>
      <c r="C893" s="3"/>
      <c r="D893" s="10"/>
      <c r="E893" s="2"/>
      <c r="F893" s="2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7"/>
      <c r="B894" s="14"/>
      <c r="C894" s="3"/>
      <c r="D894" s="10"/>
      <c r="E894" s="2"/>
      <c r="F894" s="2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7"/>
      <c r="B895" s="14"/>
      <c r="C895" s="3"/>
      <c r="D895" s="10"/>
      <c r="E895" s="2"/>
      <c r="F895" s="2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7"/>
      <c r="B896" s="14"/>
      <c r="C896" s="3"/>
      <c r="D896" s="10"/>
      <c r="E896" s="2"/>
      <c r="F896" s="2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7"/>
      <c r="B897" s="14"/>
      <c r="C897" s="3"/>
      <c r="D897" s="10"/>
      <c r="E897" s="2"/>
      <c r="F897" s="2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7"/>
      <c r="B898" s="14"/>
      <c r="C898" s="3"/>
      <c r="D898" s="10"/>
      <c r="E898" s="2"/>
      <c r="F898" s="2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7"/>
      <c r="B899" s="14"/>
      <c r="C899" s="3"/>
      <c r="D899" s="10"/>
      <c r="E899" s="2"/>
      <c r="F899" s="2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7"/>
      <c r="B900" s="14"/>
      <c r="C900" s="3"/>
      <c r="D900" s="10"/>
      <c r="E900" s="2"/>
      <c r="F900" s="2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7"/>
      <c r="B901" s="14"/>
      <c r="C901" s="3"/>
      <c r="D901" s="10"/>
      <c r="E901" s="2"/>
      <c r="F901" s="2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7"/>
      <c r="B902" s="14"/>
      <c r="C902" s="3"/>
      <c r="D902" s="10"/>
      <c r="E902" s="2"/>
      <c r="F902" s="2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7"/>
      <c r="B903" s="14"/>
      <c r="C903" s="3"/>
      <c r="D903" s="10"/>
      <c r="E903" s="2"/>
      <c r="F903" s="2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7"/>
      <c r="B904" s="14"/>
      <c r="C904" s="3"/>
      <c r="D904" s="10"/>
      <c r="E904" s="2"/>
      <c r="F904" s="2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7"/>
      <c r="B905" s="14"/>
      <c r="C905" s="3"/>
      <c r="D905" s="10"/>
      <c r="E905" s="2"/>
      <c r="F905" s="2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7"/>
      <c r="B906" s="14"/>
      <c r="C906" s="3"/>
      <c r="D906" s="10"/>
      <c r="E906" s="2"/>
      <c r="F906" s="2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7"/>
      <c r="B907" s="14"/>
      <c r="C907" s="3"/>
      <c r="D907" s="10"/>
      <c r="E907" s="2"/>
      <c r="F907" s="2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7"/>
      <c r="B908" s="14"/>
      <c r="C908" s="3"/>
      <c r="D908" s="10"/>
      <c r="E908" s="2"/>
      <c r="F908" s="2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7"/>
      <c r="B909" s="14"/>
      <c r="C909" s="3"/>
      <c r="D909" s="10"/>
      <c r="E909" s="2"/>
      <c r="F909" s="2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7"/>
      <c r="B910" s="14"/>
      <c r="C910" s="3"/>
      <c r="D910" s="10"/>
      <c r="E910" s="2"/>
      <c r="F910" s="2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7"/>
      <c r="B911" s="14"/>
      <c r="C911" s="3"/>
      <c r="D911" s="10"/>
      <c r="E911" s="2"/>
      <c r="F911" s="2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7"/>
      <c r="B912" s="14"/>
      <c r="C912" s="3"/>
      <c r="D912" s="10"/>
      <c r="E912" s="2"/>
      <c r="F912" s="2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7"/>
      <c r="B913" s="14"/>
      <c r="C913" s="3"/>
      <c r="D913" s="10"/>
      <c r="E913" s="2"/>
      <c r="F913" s="2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7"/>
      <c r="B914" s="14"/>
      <c r="C914" s="3"/>
      <c r="D914" s="10"/>
      <c r="E914" s="2"/>
      <c r="F914" s="2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7"/>
      <c r="B915" s="14"/>
      <c r="C915" s="3"/>
      <c r="D915" s="10"/>
      <c r="E915" s="2"/>
      <c r="F915" s="2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7"/>
      <c r="B916" s="14"/>
      <c r="C916" s="3"/>
      <c r="D916" s="10"/>
      <c r="E916" s="2"/>
      <c r="F916" s="2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7"/>
      <c r="B917" s="14"/>
      <c r="C917" s="3"/>
      <c r="D917" s="10"/>
      <c r="E917" s="2"/>
      <c r="F917" s="2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7"/>
      <c r="B918" s="14"/>
      <c r="C918" s="3"/>
      <c r="D918" s="10"/>
      <c r="E918" s="2"/>
      <c r="F918" s="2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7"/>
      <c r="B919" s="14"/>
      <c r="C919" s="3"/>
      <c r="D919" s="10"/>
      <c r="E919" s="2"/>
      <c r="F919" s="2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7"/>
      <c r="B920" s="14"/>
      <c r="C920" s="3"/>
      <c r="D920" s="10"/>
      <c r="E920" s="2"/>
      <c r="F920" s="2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7"/>
      <c r="B921" s="14"/>
      <c r="C921" s="3"/>
      <c r="D921" s="10"/>
      <c r="E921" s="2"/>
      <c r="F921" s="2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7"/>
      <c r="B922" s="14"/>
      <c r="C922" s="3"/>
      <c r="D922" s="10"/>
      <c r="E922" s="2"/>
      <c r="F922" s="2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7"/>
      <c r="B923" s="14"/>
      <c r="C923" s="3"/>
      <c r="D923" s="10"/>
      <c r="E923" s="2"/>
      <c r="F923" s="2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7"/>
      <c r="B924" s="14"/>
      <c r="C924" s="3"/>
      <c r="D924" s="10"/>
      <c r="E924" s="2"/>
      <c r="F924" s="2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7"/>
      <c r="B925" s="14"/>
      <c r="C925" s="3"/>
      <c r="D925" s="10"/>
      <c r="E925" s="2"/>
      <c r="F925" s="2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7"/>
      <c r="B926" s="14"/>
      <c r="C926" s="3"/>
      <c r="D926" s="10"/>
      <c r="E926" s="2"/>
      <c r="F926" s="2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7"/>
      <c r="B927" s="14"/>
      <c r="C927" s="3"/>
      <c r="D927" s="10"/>
      <c r="E927" s="2"/>
      <c r="F927" s="2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7"/>
      <c r="B928" s="14"/>
      <c r="C928" s="3"/>
      <c r="D928" s="10"/>
      <c r="E928" s="2"/>
      <c r="F928" s="2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7"/>
      <c r="B929" s="14"/>
      <c r="C929" s="3"/>
      <c r="D929" s="10"/>
      <c r="E929" s="2"/>
      <c r="F929" s="2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7"/>
      <c r="B930" s="14"/>
      <c r="C930" s="3"/>
      <c r="D930" s="10"/>
      <c r="E930" s="2"/>
      <c r="F930" s="2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7"/>
      <c r="B931" s="14"/>
      <c r="C931" s="3"/>
      <c r="D931" s="10"/>
      <c r="E931" s="2"/>
      <c r="F931" s="2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7"/>
      <c r="B932" s="14"/>
      <c r="C932" s="3"/>
      <c r="D932" s="10"/>
      <c r="E932" s="2"/>
      <c r="F932" s="2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7"/>
      <c r="B933" s="14"/>
      <c r="C933" s="3"/>
      <c r="D933" s="10"/>
      <c r="E933" s="2"/>
      <c r="F933" s="2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7"/>
      <c r="B934" s="14"/>
      <c r="C934" s="3"/>
      <c r="D934" s="10"/>
      <c r="E934" s="2"/>
      <c r="F934" s="2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7"/>
      <c r="B935" s="14"/>
      <c r="C935" s="3"/>
      <c r="D935" s="10"/>
      <c r="E935" s="2"/>
      <c r="F935" s="2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7"/>
      <c r="B936" s="14"/>
      <c r="C936" s="3"/>
      <c r="D936" s="10"/>
      <c r="E936" s="2"/>
      <c r="F936" s="2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7"/>
      <c r="B937" s="14"/>
      <c r="C937" s="3"/>
      <c r="D937" s="10"/>
      <c r="E937" s="2"/>
      <c r="F937" s="2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7"/>
      <c r="B938" s="14"/>
      <c r="C938" s="3"/>
      <c r="D938" s="10"/>
      <c r="E938" s="2"/>
      <c r="F938" s="2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7"/>
      <c r="B939" s="14"/>
      <c r="C939" s="3"/>
      <c r="D939" s="10"/>
      <c r="E939" s="2"/>
      <c r="F939" s="2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7"/>
      <c r="B940" s="14"/>
      <c r="C940" s="3"/>
      <c r="D940" s="10"/>
      <c r="E940" s="2"/>
      <c r="F940" s="2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7"/>
      <c r="B941" s="14"/>
      <c r="C941" s="3"/>
      <c r="D941" s="10"/>
      <c r="E941" s="2"/>
      <c r="F941" s="2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7"/>
      <c r="B942" s="14"/>
      <c r="C942" s="3"/>
      <c r="D942" s="10"/>
      <c r="E942" s="2"/>
      <c r="F942" s="2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7"/>
      <c r="B943" s="14"/>
      <c r="C943" s="3"/>
      <c r="D943" s="10"/>
      <c r="E943" s="2"/>
      <c r="F943" s="2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7"/>
      <c r="B944" s="14"/>
      <c r="C944" s="3"/>
      <c r="D944" s="10"/>
      <c r="E944" s="2"/>
      <c r="F944" s="2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7"/>
      <c r="B945" s="14"/>
      <c r="C945" s="3"/>
      <c r="D945" s="10"/>
      <c r="E945" s="2"/>
      <c r="F945" s="2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7"/>
      <c r="B946" s="14"/>
      <c r="C946" s="3"/>
      <c r="D946" s="10"/>
      <c r="E946" s="2"/>
      <c r="F946" s="2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7"/>
      <c r="B947" s="14"/>
      <c r="C947" s="3"/>
      <c r="D947" s="10"/>
      <c r="E947" s="2"/>
      <c r="F947" s="2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7"/>
      <c r="B948" s="14"/>
      <c r="C948" s="3"/>
      <c r="D948" s="10"/>
      <c r="E948" s="2"/>
      <c r="F948" s="2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7"/>
      <c r="B949" s="14"/>
      <c r="C949" s="3"/>
      <c r="D949" s="10"/>
      <c r="E949" s="2"/>
      <c r="F949" s="2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7"/>
      <c r="B950" s="14"/>
      <c r="C950" s="3"/>
      <c r="D950" s="10"/>
      <c r="E950" s="2"/>
      <c r="F950" s="2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7"/>
      <c r="B951" s="14"/>
      <c r="C951" s="3"/>
      <c r="D951" s="10"/>
      <c r="E951" s="2"/>
      <c r="F951" s="2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7"/>
      <c r="B952" s="14"/>
      <c r="C952" s="3"/>
      <c r="D952" s="10"/>
      <c r="E952" s="2"/>
      <c r="F952" s="2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7"/>
      <c r="B953" s="14"/>
      <c r="C953" s="3"/>
      <c r="D953" s="10"/>
      <c r="E953" s="2"/>
      <c r="F953" s="2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7"/>
      <c r="B954" s="14"/>
      <c r="C954" s="3"/>
      <c r="D954" s="10"/>
      <c r="E954" s="2"/>
      <c r="F954" s="2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7"/>
      <c r="B955" s="14"/>
      <c r="C955" s="3"/>
      <c r="D955" s="10"/>
      <c r="E955" s="2"/>
      <c r="F955" s="2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7"/>
      <c r="B956" s="14"/>
      <c r="C956" s="3"/>
      <c r="D956" s="10"/>
      <c r="E956" s="2"/>
      <c r="F956" s="2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7"/>
      <c r="B957" s="14"/>
      <c r="C957" s="3"/>
      <c r="D957" s="10"/>
      <c r="E957" s="2"/>
      <c r="F957" s="2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7"/>
      <c r="B958" s="14"/>
      <c r="C958" s="3"/>
      <c r="D958" s="10"/>
      <c r="E958" s="2"/>
      <c r="F958" s="2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7"/>
      <c r="B959" s="14"/>
      <c r="C959" s="3"/>
      <c r="D959" s="10"/>
      <c r="E959" s="2"/>
      <c r="F959" s="2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7"/>
      <c r="B960" s="14"/>
      <c r="C960" s="3"/>
      <c r="D960" s="10"/>
      <c r="E960" s="2"/>
      <c r="F960" s="2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7"/>
      <c r="B961" s="14"/>
      <c r="C961" s="3"/>
      <c r="D961" s="10"/>
      <c r="E961" s="2"/>
      <c r="F961" s="2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7"/>
      <c r="B962" s="14"/>
      <c r="C962" s="3"/>
      <c r="D962" s="10"/>
      <c r="E962" s="2"/>
      <c r="F962" s="2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7"/>
      <c r="B963" s="14"/>
      <c r="C963" s="3"/>
      <c r="D963" s="10"/>
      <c r="E963" s="2"/>
      <c r="F963" s="2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7"/>
      <c r="B964" s="14"/>
      <c r="C964" s="3"/>
      <c r="D964" s="10"/>
      <c r="E964" s="2"/>
      <c r="F964" s="2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7"/>
      <c r="B965" s="14"/>
      <c r="C965" s="3"/>
      <c r="D965" s="10"/>
      <c r="E965" s="2"/>
      <c r="F965" s="2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7"/>
      <c r="B966" s="14"/>
      <c r="C966" s="3"/>
      <c r="D966" s="10"/>
      <c r="E966" s="2"/>
      <c r="F966" s="2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7"/>
      <c r="B967" s="14"/>
      <c r="C967" s="3"/>
      <c r="D967" s="10"/>
      <c r="E967" s="2"/>
      <c r="F967" s="2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7"/>
      <c r="B968" s="14"/>
      <c r="C968" s="3"/>
      <c r="D968" s="10"/>
      <c r="E968" s="2"/>
      <c r="F968" s="2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7"/>
      <c r="B969" s="14"/>
      <c r="C969" s="3"/>
      <c r="D969" s="10"/>
      <c r="E969" s="2"/>
      <c r="F969" s="2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7"/>
      <c r="B970" s="14"/>
      <c r="C970" s="3"/>
      <c r="D970" s="10"/>
      <c r="E970" s="2"/>
      <c r="F970" s="2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7"/>
      <c r="B971" s="14"/>
      <c r="C971" s="3"/>
      <c r="D971" s="10"/>
      <c r="E971" s="2"/>
      <c r="F971" s="2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7"/>
      <c r="B972" s="14"/>
      <c r="C972" s="3"/>
      <c r="D972" s="10"/>
      <c r="E972" s="2"/>
      <c r="F972" s="2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7"/>
      <c r="B973" s="14"/>
      <c r="C973" s="3"/>
      <c r="D973" s="10"/>
      <c r="E973" s="2"/>
      <c r="F973" s="2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7"/>
      <c r="B974" s="14"/>
      <c r="C974" s="3"/>
      <c r="D974" s="10"/>
      <c r="E974" s="2"/>
      <c r="F974" s="2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7"/>
      <c r="B975" s="14"/>
      <c r="C975" s="3"/>
      <c r="D975" s="10"/>
      <c r="E975" s="2"/>
      <c r="F975" s="2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7"/>
      <c r="B976" s="14"/>
      <c r="C976" s="3"/>
      <c r="D976" s="10"/>
      <c r="E976" s="2"/>
      <c r="F976" s="2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7"/>
      <c r="B977" s="14"/>
      <c r="C977" s="3"/>
      <c r="D977" s="10"/>
      <c r="E977" s="2"/>
      <c r="F977" s="2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7"/>
      <c r="B978" s="14"/>
      <c r="C978" s="3"/>
      <c r="D978" s="10"/>
      <c r="E978" s="2"/>
      <c r="F978" s="2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7"/>
      <c r="B979" s="14"/>
      <c r="C979" s="3"/>
      <c r="D979" s="10"/>
      <c r="E979" s="2"/>
      <c r="F979" s="2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7"/>
      <c r="B980" s="14"/>
      <c r="C980" s="3"/>
      <c r="D980" s="10"/>
      <c r="E980" s="2"/>
      <c r="F980" s="2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7"/>
      <c r="B981" s="14"/>
      <c r="C981" s="3"/>
      <c r="D981" s="10"/>
      <c r="E981" s="2"/>
      <c r="F981" s="2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7"/>
      <c r="B982" s="14"/>
      <c r="C982" s="3"/>
      <c r="D982" s="10"/>
      <c r="E982" s="2"/>
      <c r="F982" s="2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7"/>
      <c r="B983" s="14"/>
      <c r="C983" s="3"/>
      <c r="D983" s="10"/>
      <c r="E983" s="2"/>
      <c r="F983" s="2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7"/>
      <c r="B984" s="14"/>
      <c r="C984" s="3"/>
      <c r="D984" s="10"/>
      <c r="E984" s="2"/>
      <c r="F984" s="2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7"/>
      <c r="B985" s="14"/>
      <c r="C985" s="3"/>
      <c r="D985" s="10"/>
      <c r="E985" s="2"/>
      <c r="F985" s="2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7"/>
      <c r="B986" s="14"/>
      <c r="C986" s="3"/>
      <c r="D986" s="10"/>
      <c r="E986" s="2"/>
      <c r="F986" s="2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7"/>
      <c r="B987" s="14"/>
      <c r="C987" s="3"/>
      <c r="D987" s="10"/>
      <c r="E987" s="2"/>
      <c r="F987" s="2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7"/>
      <c r="B988" s="14"/>
      <c r="C988" s="3"/>
      <c r="D988" s="10"/>
      <c r="E988" s="2"/>
      <c r="F988" s="2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7"/>
      <c r="B989" s="14"/>
      <c r="C989" s="3"/>
      <c r="D989" s="10"/>
      <c r="E989" s="2"/>
      <c r="F989" s="2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7"/>
      <c r="B990" s="14"/>
      <c r="C990" s="3"/>
      <c r="D990" s="10"/>
      <c r="E990" s="2"/>
      <c r="F990" s="2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7"/>
      <c r="B991" s="14"/>
      <c r="C991" s="3"/>
      <c r="D991" s="10"/>
      <c r="E991" s="2"/>
      <c r="F991" s="2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7"/>
      <c r="B992" s="14"/>
      <c r="C992" s="3"/>
      <c r="D992" s="10"/>
      <c r="E992" s="2"/>
      <c r="F992" s="2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7"/>
      <c r="B993" s="14"/>
      <c r="C993" s="3"/>
      <c r="D993" s="10"/>
      <c r="E993" s="2"/>
      <c r="F993" s="2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7"/>
      <c r="B994" s="14"/>
      <c r="C994" s="3"/>
      <c r="D994" s="10"/>
      <c r="E994" s="2"/>
      <c r="F994" s="2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7"/>
      <c r="B995" s="14"/>
      <c r="C995" s="3"/>
      <c r="D995" s="10"/>
      <c r="E995" s="2"/>
      <c r="F995" s="2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7"/>
      <c r="B996" s="14"/>
      <c r="C996" s="3"/>
      <c r="D996" s="10"/>
      <c r="E996" s="2"/>
      <c r="F996" s="2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7"/>
      <c r="B997" s="14"/>
      <c r="C997" s="3"/>
      <c r="D997" s="10"/>
      <c r="E997" s="2"/>
      <c r="F997" s="2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7"/>
      <c r="B998" s="14"/>
      <c r="C998" s="3"/>
      <c r="D998" s="10"/>
      <c r="E998" s="2"/>
      <c r="F998" s="2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7"/>
      <c r="B999" s="14"/>
      <c r="C999" s="3"/>
      <c r="D999" s="10"/>
      <c r="E999" s="2"/>
      <c r="F999" s="2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7"/>
      <c r="B1000" s="14"/>
      <c r="C1000" s="3"/>
      <c r="D1000" s="10"/>
      <c r="E1000" s="2"/>
      <c r="F1000" s="2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2">
    <mergeCell ref="A12:A17"/>
    <mergeCell ref="A19:A21"/>
    <mergeCell ref="B19:B21"/>
    <mergeCell ref="A22:A25"/>
    <mergeCell ref="B22:B25"/>
    <mergeCell ref="A1:D1"/>
    <mergeCell ref="A2:C2"/>
    <mergeCell ref="A5:A6"/>
    <mergeCell ref="B5:B6"/>
    <mergeCell ref="A9:A10"/>
    <mergeCell ref="B9:B10"/>
    <mergeCell ref="B12:B17"/>
  </mergeCells>
  <dataValidations>
    <dataValidation type="list" allowBlank="1" showErrorMessage="1" sqref="E4:E12 E14 E16 E18:E19 E21:E22 E24:E29">
      <formula1>"YES,NO,Select"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57"/>
    <col customWidth="1" min="3" max="3" width="10.71"/>
    <col customWidth="1" min="4" max="4" width="44.43"/>
    <col customWidth="1" min="5" max="5" width="15.14"/>
    <col customWidth="1" min="6" max="6" width="8.86"/>
    <col customWidth="1" min="7" max="7" width="9.57"/>
    <col customWidth="1" min="8" max="18" width="8.86"/>
    <col customWidth="1" min="19" max="26" width="8.71"/>
  </cols>
  <sheetData>
    <row r="1" ht="13.5" customHeight="1">
      <c r="A1" s="1" t="s">
        <v>90</v>
      </c>
      <c r="E1" s="15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3.5" customHeight="1">
      <c r="A2" s="4" t="s">
        <v>1</v>
      </c>
      <c r="D2" s="5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91</v>
      </c>
      <c r="F3" s="6" t="s">
        <v>92</v>
      </c>
      <c r="G3" s="6" t="s">
        <v>93</v>
      </c>
      <c r="H3" s="6" t="s">
        <v>94</v>
      </c>
      <c r="I3" s="6" t="s">
        <v>95</v>
      </c>
      <c r="J3" s="6" t="s">
        <v>96</v>
      </c>
      <c r="K3" s="6" t="s">
        <v>97</v>
      </c>
      <c r="L3" s="6" t="s">
        <v>98</v>
      </c>
      <c r="M3" s="6" t="s">
        <v>99</v>
      </c>
      <c r="N3" s="6" t="s">
        <v>100</v>
      </c>
      <c r="O3" s="6" t="s">
        <v>101</v>
      </c>
      <c r="P3" s="6" t="s">
        <v>102</v>
      </c>
      <c r="Q3" s="6" t="s">
        <v>103</v>
      </c>
      <c r="R3" s="6" t="s">
        <v>104</v>
      </c>
      <c r="S3" s="3"/>
      <c r="T3" s="3"/>
      <c r="U3" s="3"/>
      <c r="V3" s="3"/>
      <c r="W3" s="3"/>
      <c r="X3" s="3"/>
      <c r="Y3" s="3"/>
      <c r="Z3" s="3"/>
    </row>
    <row r="4" ht="13.5" customHeight="1">
      <c r="A4" s="7" t="s">
        <v>105</v>
      </c>
      <c r="B4" s="17" t="s">
        <v>106</v>
      </c>
      <c r="C4" s="9" t="s">
        <v>107</v>
      </c>
      <c r="D4" s="18" t="s">
        <v>108</v>
      </c>
      <c r="E4" s="2" t="str">
        <f t="shared" ref="E4:E6" si="1">AVERAGE(F4:R4)</f>
        <v>#DIV/0!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3"/>
      <c r="T4" s="3"/>
      <c r="U4" s="3"/>
      <c r="V4" s="3"/>
      <c r="W4" s="3"/>
      <c r="X4" s="3"/>
      <c r="Y4" s="3"/>
      <c r="Z4" s="3"/>
    </row>
    <row r="5" ht="13.5" customHeight="1">
      <c r="A5" s="7" t="s">
        <v>109</v>
      </c>
      <c r="B5" s="17" t="s">
        <v>110</v>
      </c>
      <c r="C5" s="9" t="s">
        <v>111</v>
      </c>
      <c r="D5" s="18" t="s">
        <v>112</v>
      </c>
      <c r="E5" s="2" t="str">
        <f t="shared" si="1"/>
        <v>#DIV/0!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3"/>
      <c r="T5" s="3"/>
      <c r="U5" s="3"/>
      <c r="V5" s="3"/>
      <c r="W5" s="3"/>
      <c r="X5" s="3"/>
      <c r="Y5" s="3"/>
      <c r="Z5" s="3"/>
    </row>
    <row r="6" ht="13.5" customHeight="1">
      <c r="C6" s="9" t="s">
        <v>113</v>
      </c>
      <c r="D6" s="18" t="s">
        <v>114</v>
      </c>
      <c r="E6" s="2" t="str">
        <f t="shared" si="1"/>
        <v>#DIV/0!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3"/>
      <c r="T6" s="3"/>
      <c r="U6" s="3"/>
      <c r="V6" s="3"/>
      <c r="W6" s="3"/>
      <c r="X6" s="3"/>
      <c r="Y6" s="3"/>
      <c r="Z6" s="3"/>
    </row>
    <row r="7" ht="13.5" customHeight="1">
      <c r="C7" s="9" t="s">
        <v>115</v>
      </c>
      <c r="D7" s="18" t="s">
        <v>116</v>
      </c>
      <c r="E7" s="2">
        <f t="array" ref="E7">AVERAGE(IF(F7:R7 &gt;= 9, 0, IF(F7:R7 &lt;= 2, 1, (9 - F7:R7) / 7)))</f>
        <v>1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3"/>
      <c r="T7" s="3"/>
      <c r="U7" s="3"/>
      <c r="V7" s="3"/>
      <c r="W7" s="3"/>
      <c r="X7" s="3"/>
      <c r="Y7" s="3"/>
      <c r="Z7" s="3"/>
    </row>
    <row r="8" ht="13.5" customHeight="1">
      <c r="C8" s="9" t="s">
        <v>117</v>
      </c>
      <c r="D8" s="18" t="s">
        <v>118</v>
      </c>
      <c r="E8" s="2" t="str">
        <f>AVERAGE(F8:R8)</f>
        <v>#DIV/0!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3"/>
      <c r="T8" s="3"/>
      <c r="U8" s="3"/>
      <c r="V8" s="3"/>
      <c r="W8" s="3"/>
      <c r="X8" s="3"/>
      <c r="Y8" s="3"/>
      <c r="Z8" s="3"/>
    </row>
    <row r="9" ht="13.5" customHeight="1">
      <c r="A9" s="7" t="s">
        <v>119</v>
      </c>
      <c r="B9" s="17" t="s">
        <v>120</v>
      </c>
      <c r="C9" s="9" t="s">
        <v>121</v>
      </c>
      <c r="D9" s="18" t="s">
        <v>122</v>
      </c>
      <c r="E9" s="2">
        <f t="array" ref="E9">AVERAGE(IF(F9:R9 &lt;= 4, 0, IF(F9:R9 = 5, 1, (4 - F9:R9) / 1)))</f>
        <v>0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3"/>
      <c r="T9" s="3"/>
      <c r="U9" s="3"/>
      <c r="V9" s="3"/>
      <c r="W9" s="3"/>
      <c r="X9" s="3"/>
      <c r="Y9" s="3"/>
      <c r="Z9" s="3"/>
    </row>
    <row r="10" ht="13.5" customHeight="1">
      <c r="C10" s="9" t="s">
        <v>123</v>
      </c>
      <c r="D10" s="18" t="s">
        <v>124</v>
      </c>
      <c r="E10" s="2">
        <f t="array" ref="E10">AVERAGE(IF(F10:R10 &lt;= 4, 0, IF(F10:R10 = 5, 1, (4 - F10:R10) / 1)))</f>
        <v>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3"/>
      <c r="T10" s="3"/>
      <c r="U10" s="3"/>
      <c r="V10" s="3"/>
      <c r="W10" s="3"/>
      <c r="X10" s="3"/>
      <c r="Y10" s="3"/>
      <c r="Z10" s="3"/>
    </row>
    <row r="11" ht="13.5" customHeight="1">
      <c r="C11" s="9" t="s">
        <v>125</v>
      </c>
      <c r="D11" s="18" t="s">
        <v>126</v>
      </c>
      <c r="E11" s="2">
        <f t="array" ref="E11">AVERAGE(IF(F11:R11 &lt;= 4, 0, IF(F11:R11 = 5, 1, (4 - F11:R11) / 1)))</f>
        <v>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3"/>
      <c r="T11" s="3"/>
      <c r="U11" s="3"/>
      <c r="V11" s="3"/>
      <c r="W11" s="3"/>
      <c r="X11" s="3"/>
      <c r="Y11" s="3"/>
      <c r="Z11" s="3"/>
    </row>
    <row r="12" ht="13.5" customHeight="1">
      <c r="A12" s="7" t="s">
        <v>127</v>
      </c>
      <c r="B12" s="17" t="s">
        <v>128</v>
      </c>
      <c r="C12" s="9" t="s">
        <v>129</v>
      </c>
      <c r="D12" s="18" t="s">
        <v>130</v>
      </c>
      <c r="E12" s="2">
        <f t="array" ref="E12">AVERAGE(IF(F12:R12 &lt;= 4, 0, IF(F12:R12 = 5, 1, (4 - F12:R12) / 1)))</f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3"/>
      <c r="T12" s="3"/>
      <c r="U12" s="3"/>
      <c r="V12" s="3"/>
      <c r="W12" s="3"/>
      <c r="X12" s="3"/>
      <c r="Y12" s="3"/>
      <c r="Z12" s="3"/>
    </row>
    <row r="13" ht="13.5" customHeight="1">
      <c r="C13" s="9" t="s">
        <v>131</v>
      </c>
      <c r="D13" s="18" t="s">
        <v>132</v>
      </c>
      <c r="E13" s="2" t="str">
        <f t="shared" ref="E13:E14" si="2">AVERAGE(F13:R13)</f>
        <v>#DIV/0!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3"/>
      <c r="T13" s="3"/>
      <c r="U13" s="3"/>
      <c r="V13" s="3"/>
      <c r="W13" s="3"/>
      <c r="X13" s="3"/>
      <c r="Y13" s="3"/>
      <c r="Z13" s="3"/>
    </row>
    <row r="14" ht="13.5" customHeight="1">
      <c r="C14" s="9" t="s">
        <v>133</v>
      </c>
      <c r="D14" s="18" t="s">
        <v>134</v>
      </c>
      <c r="E14" s="2" t="str">
        <f t="shared" si="2"/>
        <v>#DIV/0!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3"/>
      <c r="T14" s="3"/>
      <c r="U14" s="3"/>
      <c r="V14" s="3"/>
      <c r="W14" s="3"/>
      <c r="X14" s="3"/>
      <c r="Y14" s="3"/>
      <c r="Z14" s="3"/>
    </row>
    <row r="15" ht="13.5" customHeight="1">
      <c r="C15" s="9" t="s">
        <v>135</v>
      </c>
      <c r="D15" s="18" t="s">
        <v>136</v>
      </c>
      <c r="E15" s="2">
        <f t="array" ref="E15">AVERAGE(IF(F15:R15 &lt;= 4, 0, IF(F15:R15 = 5, 1, (4 - F15:R15) / 1)))</f>
        <v>0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3"/>
      <c r="T15" s="3"/>
      <c r="U15" s="3"/>
      <c r="V15" s="3"/>
      <c r="W15" s="3"/>
      <c r="X15" s="3"/>
      <c r="Y15" s="3"/>
      <c r="Z15" s="3"/>
    </row>
    <row r="16" ht="13.5" customHeight="1">
      <c r="C16" s="9" t="s">
        <v>137</v>
      </c>
      <c r="D16" s="18" t="s">
        <v>138</v>
      </c>
      <c r="E16" s="2" t="str">
        <f t="shared" ref="E16:E21" si="3">AVERAGE(F16:R16)</f>
        <v>#DIV/0!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3"/>
      <c r="T16" s="3"/>
      <c r="U16" s="3"/>
      <c r="V16" s="3"/>
      <c r="W16" s="3"/>
      <c r="X16" s="3"/>
      <c r="Y16" s="3"/>
      <c r="Z16" s="3"/>
    </row>
    <row r="17" ht="13.5" customHeight="1">
      <c r="C17" s="9" t="s">
        <v>139</v>
      </c>
      <c r="D17" s="18" t="s">
        <v>140</v>
      </c>
      <c r="E17" s="2" t="str">
        <f t="shared" si="3"/>
        <v>#DIV/0!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3"/>
      <c r="T17" s="3"/>
      <c r="U17" s="3"/>
      <c r="V17" s="3"/>
      <c r="W17" s="3"/>
      <c r="X17" s="3"/>
      <c r="Y17" s="3"/>
      <c r="Z17" s="3"/>
    </row>
    <row r="18" ht="13.5" customHeight="1">
      <c r="C18" s="9" t="s">
        <v>141</v>
      </c>
      <c r="D18" s="18" t="s">
        <v>142</v>
      </c>
      <c r="E18" s="2" t="str">
        <f t="shared" si="3"/>
        <v>#DIV/0!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3"/>
      <c r="T18" s="3"/>
      <c r="U18" s="3"/>
      <c r="V18" s="3"/>
      <c r="W18" s="3"/>
      <c r="X18" s="3"/>
      <c r="Y18" s="3"/>
      <c r="Z18" s="3"/>
    </row>
    <row r="19" ht="13.5" customHeight="1">
      <c r="C19" s="9" t="s">
        <v>143</v>
      </c>
      <c r="D19" s="18" t="s">
        <v>144</v>
      </c>
      <c r="E19" s="2" t="str">
        <f t="shared" si="3"/>
        <v>#DIV/0!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3"/>
      <c r="T19" s="3"/>
      <c r="U19" s="3"/>
      <c r="V19" s="3"/>
      <c r="W19" s="3"/>
      <c r="X19" s="3"/>
      <c r="Y19" s="3"/>
      <c r="Z19" s="3"/>
    </row>
    <row r="20" ht="27.0" customHeight="1">
      <c r="A20" s="7" t="s">
        <v>145</v>
      </c>
      <c r="B20" s="17" t="s">
        <v>146</v>
      </c>
      <c r="C20" s="9" t="s">
        <v>147</v>
      </c>
      <c r="D20" s="18" t="s">
        <v>148</v>
      </c>
      <c r="E20" s="2" t="str">
        <f t="shared" si="3"/>
        <v>#DIV/0!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3"/>
      <c r="T20" s="3"/>
      <c r="U20" s="3"/>
      <c r="V20" s="3"/>
      <c r="W20" s="3"/>
      <c r="X20" s="3"/>
      <c r="Y20" s="3"/>
      <c r="Z20" s="3"/>
    </row>
    <row r="21" ht="13.5" customHeight="1">
      <c r="C21" s="9" t="s">
        <v>149</v>
      </c>
      <c r="D21" s="18" t="s">
        <v>150</v>
      </c>
      <c r="E21" s="2" t="str">
        <f t="shared" si="3"/>
        <v>#DIV/0!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3"/>
      <c r="T21" s="3"/>
      <c r="U21" s="3"/>
      <c r="V21" s="3"/>
      <c r="W21" s="3"/>
      <c r="X21" s="3"/>
      <c r="Y21" s="3"/>
      <c r="Z21" s="3"/>
    </row>
    <row r="22" ht="13.5" customHeight="1">
      <c r="C22" s="9" t="s">
        <v>151</v>
      </c>
      <c r="D22" s="18" t="s">
        <v>152</v>
      </c>
      <c r="E22" s="2">
        <f t="array" ref="E22">AVERAGE(IF(F22:R22 &lt;= 4, 0, IF(F22:R22 = 5, 1, (4 - F22:R22) / 1)))</f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3"/>
      <c r="T22" s="3"/>
      <c r="U22" s="3"/>
      <c r="V22" s="3"/>
      <c r="W22" s="3"/>
      <c r="X22" s="3"/>
      <c r="Y22" s="3"/>
      <c r="Z22" s="3"/>
    </row>
    <row r="23" ht="13.5" customHeight="1">
      <c r="C23" s="9" t="s">
        <v>153</v>
      </c>
      <c r="D23" s="18" t="s">
        <v>154</v>
      </c>
      <c r="E23" s="2" t="str">
        <f>AVERAGE(F23:R23)</f>
        <v>#DIV/0!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3"/>
      <c r="T23" s="3"/>
      <c r="U23" s="3"/>
      <c r="V23" s="3"/>
      <c r="W23" s="3"/>
      <c r="X23" s="3"/>
      <c r="Y23" s="3"/>
      <c r="Z23" s="3"/>
    </row>
    <row r="24" ht="13.5" customHeight="1">
      <c r="A24" s="7"/>
      <c r="B24" s="2"/>
      <c r="C24" s="3"/>
      <c r="D24" s="18"/>
      <c r="E24" s="2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3"/>
      <c r="T24" s="3"/>
      <c r="U24" s="3"/>
      <c r="V24" s="3"/>
      <c r="W24" s="3"/>
      <c r="X24" s="3"/>
      <c r="Y24" s="3"/>
      <c r="Z24" s="3"/>
    </row>
    <row r="25" ht="13.5" customHeight="1">
      <c r="A25" s="7"/>
      <c r="B25" s="2"/>
      <c r="C25" s="3"/>
      <c r="D25" s="18"/>
      <c r="E25" s="2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3"/>
      <c r="T25" s="3"/>
      <c r="U25" s="3"/>
      <c r="V25" s="3"/>
      <c r="W25" s="3"/>
      <c r="X25" s="3"/>
      <c r="Y25" s="3"/>
      <c r="Z25" s="3"/>
    </row>
    <row r="26" ht="13.5" customHeight="1">
      <c r="A26" s="7"/>
      <c r="B26" s="2"/>
      <c r="C26" s="3"/>
      <c r="D26" s="18"/>
      <c r="E26" s="2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3"/>
      <c r="T26" s="3"/>
      <c r="U26" s="3"/>
      <c r="V26" s="3"/>
      <c r="W26" s="3"/>
      <c r="X26" s="3"/>
      <c r="Y26" s="3"/>
      <c r="Z26" s="3"/>
    </row>
    <row r="27" ht="13.5" customHeight="1">
      <c r="A27" s="7"/>
      <c r="B27" s="2"/>
      <c r="C27" s="3"/>
      <c r="D27" s="18"/>
      <c r="E27" s="2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3"/>
      <c r="T27" s="3"/>
      <c r="U27" s="3"/>
      <c r="V27" s="3"/>
      <c r="W27" s="3"/>
      <c r="X27" s="3"/>
      <c r="Y27" s="3"/>
      <c r="Z27" s="3"/>
    </row>
    <row r="28" ht="13.5" customHeight="1">
      <c r="A28" s="7"/>
      <c r="B28" s="2"/>
      <c r="C28" s="3"/>
      <c r="D28" s="18"/>
      <c r="E28" s="2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3"/>
      <c r="T28" s="3"/>
      <c r="U28" s="3"/>
      <c r="V28" s="3"/>
      <c r="W28" s="3"/>
      <c r="X28" s="3"/>
      <c r="Y28" s="3"/>
      <c r="Z28" s="3"/>
    </row>
    <row r="29" ht="13.5" customHeight="1">
      <c r="A29" s="7"/>
      <c r="B29" s="2"/>
      <c r="C29" s="3"/>
      <c r="D29" s="18"/>
      <c r="E29" s="2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3"/>
      <c r="T29" s="3"/>
      <c r="U29" s="3"/>
      <c r="V29" s="3"/>
      <c r="W29" s="3"/>
      <c r="X29" s="3"/>
      <c r="Y29" s="3"/>
      <c r="Z29" s="3"/>
    </row>
    <row r="30" ht="13.5" customHeight="1">
      <c r="A30" s="7"/>
      <c r="B30" s="2"/>
      <c r="C30" s="3"/>
      <c r="D30" s="18"/>
      <c r="E30" s="2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3"/>
      <c r="T30" s="3"/>
      <c r="U30" s="3"/>
      <c r="V30" s="3"/>
      <c r="W30" s="3"/>
      <c r="X30" s="3"/>
      <c r="Y30" s="3"/>
      <c r="Z30" s="3"/>
    </row>
    <row r="31" ht="13.5" customHeight="1">
      <c r="A31" s="7"/>
      <c r="B31" s="2"/>
      <c r="C31" s="3"/>
      <c r="D31" s="18"/>
      <c r="E31" s="2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3"/>
      <c r="T31" s="3"/>
      <c r="U31" s="3"/>
      <c r="V31" s="3"/>
      <c r="W31" s="3"/>
      <c r="X31" s="3"/>
      <c r="Y31" s="3"/>
      <c r="Z31" s="3"/>
    </row>
    <row r="32" ht="13.5" customHeight="1">
      <c r="A32" s="7"/>
      <c r="B32" s="2"/>
      <c r="C32" s="3"/>
      <c r="D32" s="18"/>
      <c r="E32" s="2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3"/>
      <c r="T32" s="3"/>
      <c r="U32" s="3"/>
      <c r="V32" s="3"/>
      <c r="W32" s="3"/>
      <c r="X32" s="3"/>
      <c r="Y32" s="3"/>
      <c r="Z32" s="3"/>
    </row>
    <row r="33" ht="13.5" customHeight="1">
      <c r="A33" s="7"/>
      <c r="B33" s="2"/>
      <c r="C33" s="3"/>
      <c r="D33" s="18"/>
      <c r="E33" s="2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3"/>
      <c r="T33" s="3"/>
      <c r="U33" s="3"/>
      <c r="V33" s="3"/>
      <c r="W33" s="3"/>
      <c r="X33" s="3"/>
      <c r="Y33" s="3"/>
      <c r="Z33" s="3"/>
    </row>
    <row r="34" ht="13.5" customHeight="1">
      <c r="A34" s="7"/>
      <c r="B34" s="2"/>
      <c r="C34" s="3"/>
      <c r="D34" s="18"/>
      <c r="E34" s="2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3"/>
      <c r="T34" s="3"/>
      <c r="U34" s="3"/>
      <c r="V34" s="3"/>
      <c r="W34" s="3"/>
      <c r="X34" s="3"/>
      <c r="Y34" s="3"/>
      <c r="Z34" s="3"/>
    </row>
    <row r="35" ht="13.5" customHeight="1">
      <c r="A35" s="7"/>
      <c r="B35" s="2"/>
      <c r="C35" s="3"/>
      <c r="D35" s="18"/>
      <c r="E35" s="2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3"/>
      <c r="T35" s="3"/>
      <c r="U35" s="3"/>
      <c r="V35" s="3"/>
      <c r="W35" s="3"/>
      <c r="X35" s="3"/>
      <c r="Y35" s="3"/>
      <c r="Z35" s="3"/>
    </row>
    <row r="36" ht="13.5" customHeight="1">
      <c r="A36" s="7"/>
      <c r="B36" s="2"/>
      <c r="C36" s="3"/>
      <c r="D36" s="18"/>
      <c r="E36" s="2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3"/>
      <c r="T36" s="3"/>
      <c r="U36" s="3"/>
      <c r="V36" s="3"/>
      <c r="W36" s="3"/>
      <c r="X36" s="3"/>
      <c r="Y36" s="3"/>
      <c r="Z36" s="3"/>
    </row>
    <row r="37" ht="13.5" customHeight="1">
      <c r="A37" s="7"/>
      <c r="B37" s="2"/>
      <c r="C37" s="3"/>
      <c r="D37" s="18"/>
      <c r="E37" s="2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3"/>
      <c r="T37" s="3"/>
      <c r="U37" s="3"/>
      <c r="V37" s="3"/>
      <c r="W37" s="3"/>
      <c r="X37" s="3"/>
      <c r="Y37" s="3"/>
      <c r="Z37" s="3"/>
    </row>
    <row r="38" ht="13.5" customHeight="1">
      <c r="A38" s="7"/>
      <c r="B38" s="2"/>
      <c r="C38" s="3"/>
      <c r="D38" s="18"/>
      <c r="E38" s="2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3"/>
      <c r="T38" s="3"/>
      <c r="U38" s="3"/>
      <c r="V38" s="3"/>
      <c r="W38" s="3"/>
      <c r="X38" s="3"/>
      <c r="Y38" s="3"/>
      <c r="Z38" s="3"/>
    </row>
    <row r="39" ht="13.5" customHeight="1">
      <c r="A39" s="7"/>
      <c r="B39" s="2"/>
      <c r="C39" s="3"/>
      <c r="D39" s="18"/>
      <c r="E39" s="2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3"/>
      <c r="T39" s="3"/>
      <c r="U39" s="3"/>
      <c r="V39" s="3"/>
      <c r="W39" s="3"/>
      <c r="X39" s="3"/>
      <c r="Y39" s="3"/>
      <c r="Z39" s="3"/>
    </row>
    <row r="40" ht="13.5" customHeight="1">
      <c r="A40" s="7"/>
      <c r="B40" s="2"/>
      <c r="C40" s="3"/>
      <c r="D40" s="18"/>
      <c r="E40" s="2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3"/>
      <c r="T40" s="3"/>
      <c r="U40" s="3"/>
      <c r="V40" s="3"/>
      <c r="W40" s="3"/>
      <c r="X40" s="3"/>
      <c r="Y40" s="3"/>
      <c r="Z40" s="3"/>
    </row>
    <row r="41" ht="13.5" customHeight="1">
      <c r="A41" s="7"/>
      <c r="B41" s="2"/>
      <c r="C41" s="3"/>
      <c r="D41" s="18"/>
      <c r="E41" s="2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3"/>
      <c r="T41" s="3"/>
      <c r="U41" s="3"/>
      <c r="V41" s="3"/>
      <c r="W41" s="3"/>
      <c r="X41" s="3"/>
      <c r="Y41" s="3"/>
      <c r="Z41" s="3"/>
    </row>
    <row r="42" ht="13.5" customHeight="1">
      <c r="A42" s="7"/>
      <c r="B42" s="2"/>
      <c r="C42" s="3"/>
      <c r="D42" s="18"/>
      <c r="E42" s="2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3"/>
      <c r="T42" s="3"/>
      <c r="U42" s="3"/>
      <c r="V42" s="3"/>
      <c r="W42" s="3"/>
      <c r="X42" s="3"/>
      <c r="Y42" s="3"/>
      <c r="Z42" s="3"/>
    </row>
    <row r="43" ht="13.5" customHeight="1">
      <c r="A43" s="7"/>
      <c r="B43" s="2"/>
      <c r="C43" s="3"/>
      <c r="D43" s="18"/>
      <c r="E43" s="2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3"/>
      <c r="T43" s="3"/>
      <c r="U43" s="3"/>
      <c r="V43" s="3"/>
      <c r="W43" s="3"/>
      <c r="X43" s="3"/>
      <c r="Y43" s="3"/>
      <c r="Z43" s="3"/>
    </row>
    <row r="44" ht="13.5" customHeight="1">
      <c r="A44" s="7"/>
      <c r="B44" s="2"/>
      <c r="C44" s="3"/>
      <c r="D44" s="18"/>
      <c r="E44" s="2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3"/>
      <c r="T44" s="3"/>
      <c r="U44" s="3"/>
      <c r="V44" s="3"/>
      <c r="W44" s="3"/>
      <c r="X44" s="3"/>
      <c r="Y44" s="3"/>
      <c r="Z44" s="3"/>
    </row>
    <row r="45" ht="13.5" customHeight="1">
      <c r="A45" s="7"/>
      <c r="B45" s="2"/>
      <c r="C45" s="3"/>
      <c r="D45" s="18"/>
      <c r="E45" s="2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3"/>
      <c r="T45" s="3"/>
      <c r="U45" s="3"/>
      <c r="V45" s="3"/>
      <c r="W45" s="3"/>
      <c r="X45" s="3"/>
      <c r="Y45" s="3"/>
      <c r="Z45" s="3"/>
    </row>
    <row r="46" ht="13.5" customHeight="1">
      <c r="A46" s="7"/>
      <c r="B46" s="2"/>
      <c r="C46" s="3"/>
      <c r="D46" s="18"/>
      <c r="E46" s="2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3"/>
      <c r="T46" s="3"/>
      <c r="U46" s="3"/>
      <c r="V46" s="3"/>
      <c r="W46" s="3"/>
      <c r="X46" s="3"/>
      <c r="Y46" s="3"/>
      <c r="Z46" s="3"/>
    </row>
    <row r="47" ht="13.5" customHeight="1">
      <c r="A47" s="7"/>
      <c r="B47" s="2"/>
      <c r="C47" s="3"/>
      <c r="D47" s="18"/>
      <c r="E47" s="2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3"/>
      <c r="T47" s="3"/>
      <c r="U47" s="3"/>
      <c r="V47" s="3"/>
      <c r="W47" s="3"/>
      <c r="X47" s="3"/>
      <c r="Y47" s="3"/>
      <c r="Z47" s="3"/>
    </row>
    <row r="48" ht="13.5" customHeight="1">
      <c r="A48" s="7"/>
      <c r="B48" s="2"/>
      <c r="C48" s="3"/>
      <c r="D48" s="18"/>
      <c r="E48" s="2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3"/>
      <c r="T48" s="3"/>
      <c r="U48" s="3"/>
      <c r="V48" s="3"/>
      <c r="W48" s="3"/>
      <c r="X48" s="3"/>
      <c r="Y48" s="3"/>
      <c r="Z48" s="3"/>
    </row>
    <row r="49" ht="13.5" customHeight="1">
      <c r="A49" s="7"/>
      <c r="B49" s="2"/>
      <c r="C49" s="3"/>
      <c r="D49" s="18"/>
      <c r="E49" s="2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3"/>
      <c r="T49" s="3"/>
      <c r="U49" s="3"/>
      <c r="V49" s="3"/>
      <c r="W49" s="3"/>
      <c r="X49" s="3"/>
      <c r="Y49" s="3"/>
      <c r="Z49" s="3"/>
    </row>
    <row r="50" ht="13.5" customHeight="1">
      <c r="A50" s="7"/>
      <c r="B50" s="2"/>
      <c r="C50" s="3"/>
      <c r="D50" s="18"/>
      <c r="E50" s="2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3"/>
      <c r="T50" s="3"/>
      <c r="U50" s="3"/>
      <c r="V50" s="3"/>
      <c r="W50" s="3"/>
      <c r="X50" s="3"/>
      <c r="Y50" s="3"/>
      <c r="Z50" s="3"/>
    </row>
    <row r="51" ht="13.5" customHeight="1">
      <c r="A51" s="7"/>
      <c r="B51" s="2"/>
      <c r="C51" s="3"/>
      <c r="D51" s="18"/>
      <c r="E51" s="2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3"/>
      <c r="T51" s="3"/>
      <c r="U51" s="3"/>
      <c r="V51" s="3"/>
      <c r="W51" s="3"/>
      <c r="X51" s="3"/>
      <c r="Y51" s="3"/>
      <c r="Z51" s="3"/>
    </row>
    <row r="52" ht="13.5" customHeight="1">
      <c r="A52" s="7"/>
      <c r="B52" s="2"/>
      <c r="C52" s="3"/>
      <c r="D52" s="18"/>
      <c r="E52" s="2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3"/>
      <c r="T52" s="3"/>
      <c r="U52" s="3"/>
      <c r="V52" s="3"/>
      <c r="W52" s="3"/>
      <c r="X52" s="3"/>
      <c r="Y52" s="3"/>
      <c r="Z52" s="3"/>
    </row>
    <row r="53" ht="13.5" customHeight="1">
      <c r="A53" s="7"/>
      <c r="B53" s="2"/>
      <c r="C53" s="3"/>
      <c r="D53" s="18"/>
      <c r="E53" s="2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3"/>
      <c r="T53" s="3"/>
      <c r="U53" s="3"/>
      <c r="V53" s="3"/>
      <c r="W53" s="3"/>
      <c r="X53" s="3"/>
      <c r="Y53" s="3"/>
      <c r="Z53" s="3"/>
    </row>
    <row r="54" ht="13.5" customHeight="1">
      <c r="A54" s="7"/>
      <c r="B54" s="2"/>
      <c r="C54" s="3"/>
      <c r="D54" s="18"/>
      <c r="E54" s="2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3"/>
      <c r="T54" s="3"/>
      <c r="U54" s="3"/>
      <c r="V54" s="3"/>
      <c r="W54" s="3"/>
      <c r="X54" s="3"/>
      <c r="Y54" s="3"/>
      <c r="Z54" s="3"/>
    </row>
    <row r="55" ht="13.5" customHeight="1">
      <c r="A55" s="7"/>
      <c r="B55" s="2"/>
      <c r="C55" s="3"/>
      <c r="D55" s="18"/>
      <c r="E55" s="2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3"/>
      <c r="T55" s="3"/>
      <c r="U55" s="3"/>
      <c r="V55" s="3"/>
      <c r="W55" s="3"/>
      <c r="X55" s="3"/>
      <c r="Y55" s="3"/>
      <c r="Z55" s="3"/>
    </row>
    <row r="56" ht="13.5" customHeight="1">
      <c r="A56" s="7"/>
      <c r="B56" s="2"/>
      <c r="C56" s="3"/>
      <c r="D56" s="18"/>
      <c r="E56" s="2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3"/>
      <c r="T56" s="3"/>
      <c r="U56" s="3"/>
      <c r="V56" s="3"/>
      <c r="W56" s="3"/>
      <c r="X56" s="3"/>
      <c r="Y56" s="3"/>
      <c r="Z56" s="3"/>
    </row>
    <row r="57" ht="13.5" customHeight="1">
      <c r="A57" s="7"/>
      <c r="B57" s="2"/>
      <c r="C57" s="3"/>
      <c r="D57" s="18"/>
      <c r="E57" s="2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3"/>
      <c r="T57" s="3"/>
      <c r="U57" s="3"/>
      <c r="V57" s="3"/>
      <c r="W57" s="3"/>
      <c r="X57" s="3"/>
      <c r="Y57" s="3"/>
      <c r="Z57" s="3"/>
    </row>
    <row r="58" ht="13.5" customHeight="1">
      <c r="A58" s="7"/>
      <c r="B58" s="2"/>
      <c r="C58" s="3"/>
      <c r="D58" s="18"/>
      <c r="E58" s="2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3"/>
      <c r="T58" s="3"/>
      <c r="U58" s="3"/>
      <c r="V58" s="3"/>
      <c r="W58" s="3"/>
      <c r="X58" s="3"/>
      <c r="Y58" s="3"/>
      <c r="Z58" s="3"/>
    </row>
    <row r="59" ht="13.5" customHeight="1">
      <c r="A59" s="7"/>
      <c r="B59" s="2"/>
      <c r="C59" s="3"/>
      <c r="D59" s="18"/>
      <c r="E59" s="2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3"/>
      <c r="T59" s="3"/>
      <c r="U59" s="3"/>
      <c r="V59" s="3"/>
      <c r="W59" s="3"/>
      <c r="X59" s="3"/>
      <c r="Y59" s="3"/>
      <c r="Z59" s="3"/>
    </row>
    <row r="60" ht="13.5" customHeight="1">
      <c r="A60" s="7"/>
      <c r="B60" s="2"/>
      <c r="C60" s="3"/>
      <c r="D60" s="18"/>
      <c r="E60" s="2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3"/>
      <c r="T60" s="3"/>
      <c r="U60" s="3"/>
      <c r="V60" s="3"/>
      <c r="W60" s="3"/>
      <c r="X60" s="3"/>
      <c r="Y60" s="3"/>
      <c r="Z60" s="3"/>
    </row>
    <row r="61" ht="13.5" customHeight="1">
      <c r="A61" s="7"/>
      <c r="B61" s="2"/>
      <c r="C61" s="3"/>
      <c r="D61" s="18"/>
      <c r="E61" s="2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3"/>
      <c r="T61" s="3"/>
      <c r="U61" s="3"/>
      <c r="V61" s="3"/>
      <c r="W61" s="3"/>
      <c r="X61" s="3"/>
      <c r="Y61" s="3"/>
      <c r="Z61" s="3"/>
    </row>
    <row r="62" ht="13.5" customHeight="1">
      <c r="A62" s="7"/>
      <c r="B62" s="2"/>
      <c r="C62" s="3"/>
      <c r="D62" s="18"/>
      <c r="E62" s="2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3"/>
      <c r="T62" s="3"/>
      <c r="U62" s="3"/>
      <c r="V62" s="3"/>
      <c r="W62" s="3"/>
      <c r="X62" s="3"/>
      <c r="Y62" s="3"/>
      <c r="Z62" s="3"/>
    </row>
    <row r="63" ht="13.5" customHeight="1">
      <c r="A63" s="7"/>
      <c r="B63" s="2"/>
      <c r="C63" s="3"/>
      <c r="D63" s="18"/>
      <c r="E63" s="2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3"/>
      <c r="T63" s="3"/>
      <c r="U63" s="3"/>
      <c r="V63" s="3"/>
      <c r="W63" s="3"/>
      <c r="X63" s="3"/>
      <c r="Y63" s="3"/>
      <c r="Z63" s="3"/>
    </row>
    <row r="64" ht="13.5" customHeight="1">
      <c r="A64" s="7"/>
      <c r="B64" s="2"/>
      <c r="C64" s="3"/>
      <c r="D64" s="18"/>
      <c r="E64" s="2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3"/>
      <c r="T64" s="3"/>
      <c r="U64" s="3"/>
      <c r="V64" s="3"/>
      <c r="W64" s="3"/>
      <c r="X64" s="3"/>
      <c r="Y64" s="3"/>
      <c r="Z64" s="3"/>
    </row>
    <row r="65" ht="13.5" customHeight="1">
      <c r="A65" s="7"/>
      <c r="B65" s="2"/>
      <c r="C65" s="3"/>
      <c r="D65" s="18"/>
      <c r="E65" s="2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3"/>
      <c r="T65" s="3"/>
      <c r="U65" s="3"/>
      <c r="V65" s="3"/>
      <c r="W65" s="3"/>
      <c r="X65" s="3"/>
      <c r="Y65" s="3"/>
      <c r="Z65" s="3"/>
    </row>
    <row r="66" ht="13.5" customHeight="1">
      <c r="A66" s="7"/>
      <c r="B66" s="2"/>
      <c r="C66" s="3"/>
      <c r="D66" s="18"/>
      <c r="E66" s="2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3"/>
      <c r="T66" s="3"/>
      <c r="U66" s="3"/>
      <c r="V66" s="3"/>
      <c r="W66" s="3"/>
      <c r="X66" s="3"/>
      <c r="Y66" s="3"/>
      <c r="Z66" s="3"/>
    </row>
    <row r="67" ht="13.5" customHeight="1">
      <c r="A67" s="7"/>
      <c r="B67" s="2"/>
      <c r="C67" s="3"/>
      <c r="D67" s="18"/>
      <c r="E67" s="2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3"/>
      <c r="T67" s="3"/>
      <c r="U67" s="3"/>
      <c r="V67" s="3"/>
      <c r="W67" s="3"/>
      <c r="X67" s="3"/>
      <c r="Y67" s="3"/>
      <c r="Z67" s="3"/>
    </row>
    <row r="68" ht="13.5" customHeight="1">
      <c r="A68" s="7"/>
      <c r="B68" s="2"/>
      <c r="C68" s="3"/>
      <c r="D68" s="18"/>
      <c r="E68" s="2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3"/>
      <c r="T68" s="3"/>
      <c r="U68" s="3"/>
      <c r="V68" s="3"/>
      <c r="W68" s="3"/>
      <c r="X68" s="3"/>
      <c r="Y68" s="3"/>
      <c r="Z68" s="3"/>
    </row>
    <row r="69" ht="13.5" customHeight="1">
      <c r="A69" s="7"/>
      <c r="B69" s="2"/>
      <c r="C69" s="3"/>
      <c r="D69" s="18"/>
      <c r="E69" s="2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3"/>
      <c r="T69" s="3"/>
      <c r="U69" s="3"/>
      <c r="V69" s="3"/>
      <c r="W69" s="3"/>
      <c r="X69" s="3"/>
      <c r="Y69" s="3"/>
      <c r="Z69" s="3"/>
    </row>
    <row r="70" ht="13.5" customHeight="1">
      <c r="A70" s="7"/>
      <c r="B70" s="2"/>
      <c r="C70" s="3"/>
      <c r="D70" s="18"/>
      <c r="E70" s="2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3"/>
      <c r="T70" s="3"/>
      <c r="U70" s="3"/>
      <c r="V70" s="3"/>
      <c r="W70" s="3"/>
      <c r="X70" s="3"/>
      <c r="Y70" s="3"/>
      <c r="Z70" s="3"/>
    </row>
    <row r="71" ht="13.5" customHeight="1">
      <c r="A71" s="7"/>
      <c r="B71" s="2"/>
      <c r="C71" s="3"/>
      <c r="D71" s="18"/>
      <c r="E71" s="2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3"/>
      <c r="T71" s="3"/>
      <c r="U71" s="3"/>
      <c r="V71" s="3"/>
      <c r="W71" s="3"/>
      <c r="X71" s="3"/>
      <c r="Y71" s="3"/>
      <c r="Z71" s="3"/>
    </row>
    <row r="72" ht="13.5" customHeight="1">
      <c r="A72" s="7"/>
      <c r="B72" s="2"/>
      <c r="C72" s="3"/>
      <c r="D72" s="18"/>
      <c r="E72" s="2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3"/>
      <c r="T72" s="3"/>
      <c r="U72" s="3"/>
      <c r="V72" s="3"/>
      <c r="W72" s="3"/>
      <c r="X72" s="3"/>
      <c r="Y72" s="3"/>
      <c r="Z72" s="3"/>
    </row>
    <row r="73" ht="13.5" customHeight="1">
      <c r="A73" s="7"/>
      <c r="B73" s="2"/>
      <c r="C73" s="3"/>
      <c r="D73" s="18"/>
      <c r="E73" s="2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3"/>
      <c r="T73" s="3"/>
      <c r="U73" s="3"/>
      <c r="V73" s="3"/>
      <c r="W73" s="3"/>
      <c r="X73" s="3"/>
      <c r="Y73" s="3"/>
      <c r="Z73" s="3"/>
    </row>
    <row r="74" ht="13.5" customHeight="1">
      <c r="A74" s="7"/>
      <c r="B74" s="2"/>
      <c r="C74" s="3"/>
      <c r="D74" s="18"/>
      <c r="E74" s="2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3"/>
      <c r="T74" s="3"/>
      <c r="U74" s="3"/>
      <c r="V74" s="3"/>
      <c r="W74" s="3"/>
      <c r="X74" s="3"/>
      <c r="Y74" s="3"/>
      <c r="Z74" s="3"/>
    </row>
    <row r="75" ht="13.5" customHeight="1">
      <c r="A75" s="7"/>
      <c r="B75" s="2"/>
      <c r="C75" s="3"/>
      <c r="D75" s="18"/>
      <c r="E75" s="2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3"/>
      <c r="T75" s="3"/>
      <c r="U75" s="3"/>
      <c r="V75" s="3"/>
      <c r="W75" s="3"/>
      <c r="X75" s="3"/>
      <c r="Y75" s="3"/>
      <c r="Z75" s="3"/>
    </row>
    <row r="76" ht="13.5" customHeight="1">
      <c r="A76" s="7"/>
      <c r="B76" s="2"/>
      <c r="C76" s="3"/>
      <c r="D76" s="18"/>
      <c r="E76" s="2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3"/>
      <c r="T76" s="3"/>
      <c r="U76" s="3"/>
      <c r="V76" s="3"/>
      <c r="W76" s="3"/>
      <c r="X76" s="3"/>
      <c r="Y76" s="3"/>
      <c r="Z76" s="3"/>
    </row>
    <row r="77" ht="13.5" customHeight="1">
      <c r="A77" s="7"/>
      <c r="B77" s="2"/>
      <c r="C77" s="3"/>
      <c r="D77" s="18"/>
      <c r="E77" s="2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3"/>
      <c r="T77" s="3"/>
      <c r="U77" s="3"/>
      <c r="V77" s="3"/>
      <c r="W77" s="3"/>
      <c r="X77" s="3"/>
      <c r="Y77" s="3"/>
      <c r="Z77" s="3"/>
    </row>
    <row r="78" ht="13.5" customHeight="1">
      <c r="A78" s="7"/>
      <c r="B78" s="2"/>
      <c r="C78" s="3"/>
      <c r="D78" s="18"/>
      <c r="E78" s="2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3"/>
      <c r="T78" s="3"/>
      <c r="U78" s="3"/>
      <c r="V78" s="3"/>
      <c r="W78" s="3"/>
      <c r="X78" s="3"/>
      <c r="Y78" s="3"/>
      <c r="Z78" s="3"/>
    </row>
    <row r="79" ht="13.5" customHeight="1">
      <c r="A79" s="7"/>
      <c r="B79" s="2"/>
      <c r="C79" s="3"/>
      <c r="D79" s="18"/>
      <c r="E79" s="2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3"/>
      <c r="T79" s="3"/>
      <c r="U79" s="3"/>
      <c r="V79" s="3"/>
      <c r="W79" s="3"/>
      <c r="X79" s="3"/>
      <c r="Y79" s="3"/>
      <c r="Z79" s="3"/>
    </row>
    <row r="80" ht="13.5" customHeight="1">
      <c r="A80" s="7"/>
      <c r="B80" s="2"/>
      <c r="C80" s="3"/>
      <c r="D80" s="18"/>
      <c r="E80" s="2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3"/>
      <c r="T80" s="3"/>
      <c r="U80" s="3"/>
      <c r="V80" s="3"/>
      <c r="W80" s="3"/>
      <c r="X80" s="3"/>
      <c r="Y80" s="3"/>
      <c r="Z80" s="3"/>
    </row>
    <row r="81" ht="13.5" customHeight="1">
      <c r="A81" s="7"/>
      <c r="B81" s="2"/>
      <c r="C81" s="3"/>
      <c r="D81" s="18"/>
      <c r="E81" s="2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3"/>
      <c r="T81" s="3"/>
      <c r="U81" s="3"/>
      <c r="V81" s="3"/>
      <c r="W81" s="3"/>
      <c r="X81" s="3"/>
      <c r="Y81" s="3"/>
      <c r="Z81" s="3"/>
    </row>
    <row r="82" ht="13.5" customHeight="1">
      <c r="A82" s="7"/>
      <c r="B82" s="2"/>
      <c r="C82" s="3"/>
      <c r="D82" s="18"/>
      <c r="E82" s="2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3"/>
      <c r="T82" s="3"/>
      <c r="U82" s="3"/>
      <c r="V82" s="3"/>
      <c r="W82" s="3"/>
      <c r="X82" s="3"/>
      <c r="Y82" s="3"/>
      <c r="Z82" s="3"/>
    </row>
    <row r="83" ht="13.5" customHeight="1">
      <c r="A83" s="7"/>
      <c r="B83" s="2"/>
      <c r="C83" s="3"/>
      <c r="D83" s="18"/>
      <c r="E83" s="2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3"/>
      <c r="T83" s="3"/>
      <c r="U83" s="3"/>
      <c r="V83" s="3"/>
      <c r="W83" s="3"/>
      <c r="X83" s="3"/>
      <c r="Y83" s="3"/>
      <c r="Z83" s="3"/>
    </row>
    <row r="84" ht="13.5" customHeight="1">
      <c r="A84" s="7"/>
      <c r="B84" s="2"/>
      <c r="C84" s="3"/>
      <c r="D84" s="18"/>
      <c r="E84" s="2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3"/>
      <c r="T84" s="3"/>
      <c r="U84" s="3"/>
      <c r="V84" s="3"/>
      <c r="W84" s="3"/>
      <c r="X84" s="3"/>
      <c r="Y84" s="3"/>
      <c r="Z84" s="3"/>
    </row>
    <row r="85" ht="13.5" customHeight="1">
      <c r="A85" s="7"/>
      <c r="B85" s="2"/>
      <c r="C85" s="3"/>
      <c r="D85" s="18"/>
      <c r="E85" s="2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3"/>
      <c r="T85" s="3"/>
      <c r="U85" s="3"/>
      <c r="V85" s="3"/>
      <c r="W85" s="3"/>
      <c r="X85" s="3"/>
      <c r="Y85" s="3"/>
      <c r="Z85" s="3"/>
    </row>
    <row r="86" ht="13.5" customHeight="1">
      <c r="A86" s="7"/>
      <c r="B86" s="2"/>
      <c r="C86" s="3"/>
      <c r="D86" s="18"/>
      <c r="E86" s="2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3"/>
      <c r="T86" s="3"/>
      <c r="U86" s="3"/>
      <c r="V86" s="3"/>
      <c r="W86" s="3"/>
      <c r="X86" s="3"/>
      <c r="Y86" s="3"/>
      <c r="Z86" s="3"/>
    </row>
    <row r="87" ht="13.5" customHeight="1">
      <c r="A87" s="7"/>
      <c r="B87" s="2"/>
      <c r="C87" s="3"/>
      <c r="D87" s="18"/>
      <c r="E87" s="2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3"/>
      <c r="T87" s="3"/>
      <c r="U87" s="3"/>
      <c r="V87" s="3"/>
      <c r="W87" s="3"/>
      <c r="X87" s="3"/>
      <c r="Y87" s="3"/>
      <c r="Z87" s="3"/>
    </row>
    <row r="88" ht="13.5" customHeight="1">
      <c r="A88" s="7"/>
      <c r="B88" s="2"/>
      <c r="C88" s="3"/>
      <c r="D88" s="18"/>
      <c r="E88" s="2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3"/>
      <c r="T88" s="3"/>
      <c r="U88" s="3"/>
      <c r="V88" s="3"/>
      <c r="W88" s="3"/>
      <c r="X88" s="3"/>
      <c r="Y88" s="3"/>
      <c r="Z88" s="3"/>
    </row>
    <row r="89" ht="13.5" customHeight="1">
      <c r="A89" s="7"/>
      <c r="B89" s="2"/>
      <c r="C89" s="3"/>
      <c r="D89" s="18"/>
      <c r="E89" s="2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3"/>
      <c r="T89" s="3"/>
      <c r="U89" s="3"/>
      <c r="V89" s="3"/>
      <c r="W89" s="3"/>
      <c r="X89" s="3"/>
      <c r="Y89" s="3"/>
      <c r="Z89" s="3"/>
    </row>
    <row r="90" ht="13.5" customHeight="1">
      <c r="A90" s="7"/>
      <c r="B90" s="2"/>
      <c r="C90" s="3"/>
      <c r="D90" s="18"/>
      <c r="E90" s="2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3"/>
      <c r="T90" s="3"/>
      <c r="U90" s="3"/>
      <c r="V90" s="3"/>
      <c r="W90" s="3"/>
      <c r="X90" s="3"/>
      <c r="Y90" s="3"/>
      <c r="Z90" s="3"/>
    </row>
    <row r="91" ht="13.5" customHeight="1">
      <c r="A91" s="7"/>
      <c r="B91" s="2"/>
      <c r="C91" s="3"/>
      <c r="D91" s="18"/>
      <c r="E91" s="2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3"/>
      <c r="T91" s="3"/>
      <c r="U91" s="3"/>
      <c r="V91" s="3"/>
      <c r="W91" s="3"/>
      <c r="X91" s="3"/>
      <c r="Y91" s="3"/>
      <c r="Z91" s="3"/>
    </row>
    <row r="92" ht="13.5" customHeight="1">
      <c r="A92" s="7"/>
      <c r="B92" s="2"/>
      <c r="C92" s="3"/>
      <c r="D92" s="18"/>
      <c r="E92" s="2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3"/>
      <c r="T92" s="3"/>
      <c r="U92" s="3"/>
      <c r="V92" s="3"/>
      <c r="W92" s="3"/>
      <c r="X92" s="3"/>
      <c r="Y92" s="3"/>
      <c r="Z92" s="3"/>
    </row>
    <row r="93" ht="13.5" customHeight="1">
      <c r="A93" s="7"/>
      <c r="B93" s="2"/>
      <c r="C93" s="3"/>
      <c r="D93" s="18"/>
      <c r="E93" s="2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3"/>
      <c r="T93" s="3"/>
      <c r="U93" s="3"/>
      <c r="V93" s="3"/>
      <c r="W93" s="3"/>
      <c r="X93" s="3"/>
      <c r="Y93" s="3"/>
      <c r="Z93" s="3"/>
    </row>
    <row r="94" ht="13.5" customHeight="1">
      <c r="A94" s="7"/>
      <c r="B94" s="2"/>
      <c r="C94" s="3"/>
      <c r="D94" s="18"/>
      <c r="E94" s="2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3"/>
      <c r="T94" s="3"/>
      <c r="U94" s="3"/>
      <c r="V94" s="3"/>
      <c r="W94" s="3"/>
      <c r="X94" s="3"/>
      <c r="Y94" s="3"/>
      <c r="Z94" s="3"/>
    </row>
    <row r="95" ht="13.5" customHeight="1">
      <c r="A95" s="7"/>
      <c r="B95" s="2"/>
      <c r="C95" s="3"/>
      <c r="D95" s="18"/>
      <c r="E95" s="2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3"/>
      <c r="T95" s="3"/>
      <c r="U95" s="3"/>
      <c r="V95" s="3"/>
      <c r="W95" s="3"/>
      <c r="X95" s="3"/>
      <c r="Y95" s="3"/>
      <c r="Z95" s="3"/>
    </row>
    <row r="96" ht="13.5" customHeight="1">
      <c r="A96" s="7"/>
      <c r="B96" s="2"/>
      <c r="C96" s="3"/>
      <c r="D96" s="18"/>
      <c r="E96" s="2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3"/>
      <c r="T96" s="3"/>
      <c r="U96" s="3"/>
      <c r="V96" s="3"/>
      <c r="W96" s="3"/>
      <c r="X96" s="3"/>
      <c r="Y96" s="3"/>
      <c r="Z96" s="3"/>
    </row>
    <row r="97" ht="13.5" customHeight="1">
      <c r="A97" s="7"/>
      <c r="B97" s="2"/>
      <c r="C97" s="3"/>
      <c r="D97" s="18"/>
      <c r="E97" s="2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3"/>
      <c r="T97" s="3"/>
      <c r="U97" s="3"/>
      <c r="V97" s="3"/>
      <c r="W97" s="3"/>
      <c r="X97" s="3"/>
      <c r="Y97" s="3"/>
      <c r="Z97" s="3"/>
    </row>
    <row r="98" ht="13.5" customHeight="1">
      <c r="A98" s="7"/>
      <c r="B98" s="2"/>
      <c r="C98" s="3"/>
      <c r="D98" s="18"/>
      <c r="E98" s="2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3"/>
      <c r="T98" s="3"/>
      <c r="U98" s="3"/>
      <c r="V98" s="3"/>
      <c r="W98" s="3"/>
      <c r="X98" s="3"/>
      <c r="Y98" s="3"/>
      <c r="Z98" s="3"/>
    </row>
    <row r="99" ht="13.5" customHeight="1">
      <c r="A99" s="7"/>
      <c r="B99" s="2"/>
      <c r="C99" s="3"/>
      <c r="D99" s="18"/>
      <c r="E99" s="2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7"/>
      <c r="B100" s="2"/>
      <c r="C100" s="3"/>
      <c r="D100" s="18"/>
      <c r="E100" s="2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7"/>
      <c r="B101" s="2"/>
      <c r="C101" s="3"/>
      <c r="D101" s="18"/>
      <c r="E101" s="2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7"/>
      <c r="B102" s="2"/>
      <c r="C102" s="3"/>
      <c r="D102" s="18"/>
      <c r="E102" s="2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7"/>
      <c r="B103" s="2"/>
      <c r="C103" s="3"/>
      <c r="D103" s="18"/>
      <c r="E103" s="2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7"/>
      <c r="B104" s="2"/>
      <c r="C104" s="3"/>
      <c r="D104" s="18"/>
      <c r="E104" s="2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7"/>
      <c r="B105" s="2"/>
      <c r="C105" s="3"/>
      <c r="D105" s="18"/>
      <c r="E105" s="2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7"/>
      <c r="B106" s="2"/>
      <c r="C106" s="3"/>
      <c r="D106" s="18"/>
      <c r="E106" s="2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7"/>
      <c r="B107" s="2"/>
      <c r="C107" s="3"/>
      <c r="D107" s="18"/>
      <c r="E107" s="2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7"/>
      <c r="B108" s="2"/>
      <c r="C108" s="3"/>
      <c r="D108" s="18"/>
      <c r="E108" s="2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7"/>
      <c r="B109" s="2"/>
      <c r="C109" s="3"/>
      <c r="D109" s="18"/>
      <c r="E109" s="2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7"/>
      <c r="B110" s="2"/>
      <c r="C110" s="3"/>
      <c r="D110" s="18"/>
      <c r="E110" s="2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7"/>
      <c r="B111" s="2"/>
      <c r="C111" s="3"/>
      <c r="D111" s="18"/>
      <c r="E111" s="2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7"/>
      <c r="B112" s="2"/>
      <c r="C112" s="3"/>
      <c r="D112" s="18"/>
      <c r="E112" s="2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7"/>
      <c r="B113" s="2"/>
      <c r="C113" s="3"/>
      <c r="D113" s="18"/>
      <c r="E113" s="2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7"/>
      <c r="B114" s="2"/>
      <c r="C114" s="3"/>
      <c r="D114" s="18"/>
      <c r="E114" s="2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7"/>
      <c r="B115" s="2"/>
      <c r="C115" s="3"/>
      <c r="D115" s="18"/>
      <c r="E115" s="2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7"/>
      <c r="B116" s="2"/>
      <c r="C116" s="3"/>
      <c r="D116" s="18"/>
      <c r="E116" s="2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7"/>
      <c r="B117" s="2"/>
      <c r="C117" s="3"/>
      <c r="D117" s="18"/>
      <c r="E117" s="2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7"/>
      <c r="B118" s="2"/>
      <c r="C118" s="3"/>
      <c r="D118" s="18"/>
      <c r="E118" s="2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7"/>
      <c r="B119" s="2"/>
      <c r="C119" s="3"/>
      <c r="D119" s="18"/>
      <c r="E119" s="2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7"/>
      <c r="B120" s="2"/>
      <c r="C120" s="3"/>
      <c r="D120" s="18"/>
      <c r="E120" s="2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7"/>
      <c r="B121" s="2"/>
      <c r="C121" s="3"/>
      <c r="D121" s="18"/>
      <c r="E121" s="2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7"/>
      <c r="B122" s="2"/>
      <c r="C122" s="3"/>
      <c r="D122" s="18"/>
      <c r="E122" s="2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7"/>
      <c r="B123" s="2"/>
      <c r="C123" s="3"/>
      <c r="D123" s="18"/>
      <c r="E123" s="2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7"/>
      <c r="B124" s="2"/>
      <c r="C124" s="3"/>
      <c r="D124" s="18"/>
      <c r="E124" s="2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7"/>
      <c r="B125" s="2"/>
      <c r="C125" s="3"/>
      <c r="D125" s="18"/>
      <c r="E125" s="2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7"/>
      <c r="B126" s="2"/>
      <c r="C126" s="3"/>
      <c r="D126" s="18"/>
      <c r="E126" s="2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7"/>
      <c r="B127" s="2"/>
      <c r="C127" s="3"/>
      <c r="D127" s="18"/>
      <c r="E127" s="2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7"/>
      <c r="B128" s="2"/>
      <c r="C128" s="3"/>
      <c r="D128" s="18"/>
      <c r="E128" s="2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7"/>
      <c r="B129" s="2"/>
      <c r="C129" s="3"/>
      <c r="D129" s="18"/>
      <c r="E129" s="2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7"/>
      <c r="B130" s="2"/>
      <c r="C130" s="3"/>
      <c r="D130" s="18"/>
      <c r="E130" s="2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7"/>
      <c r="B131" s="2"/>
      <c r="C131" s="3"/>
      <c r="D131" s="18"/>
      <c r="E131" s="2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7"/>
      <c r="B132" s="2"/>
      <c r="C132" s="3"/>
      <c r="D132" s="18"/>
      <c r="E132" s="2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7"/>
      <c r="B133" s="2"/>
      <c r="C133" s="3"/>
      <c r="D133" s="18"/>
      <c r="E133" s="2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7"/>
      <c r="B134" s="2"/>
      <c r="C134" s="3"/>
      <c r="D134" s="18"/>
      <c r="E134" s="2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7"/>
      <c r="B135" s="2"/>
      <c r="C135" s="3"/>
      <c r="D135" s="18"/>
      <c r="E135" s="2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7"/>
      <c r="B136" s="2"/>
      <c r="C136" s="3"/>
      <c r="D136" s="18"/>
      <c r="E136" s="2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7"/>
      <c r="B137" s="2"/>
      <c r="C137" s="3"/>
      <c r="D137" s="18"/>
      <c r="E137" s="2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7"/>
      <c r="B138" s="2"/>
      <c r="C138" s="3"/>
      <c r="D138" s="18"/>
      <c r="E138" s="2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7"/>
      <c r="B139" s="2"/>
      <c r="C139" s="3"/>
      <c r="D139" s="18"/>
      <c r="E139" s="2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7"/>
      <c r="B140" s="2"/>
      <c r="C140" s="3"/>
      <c r="D140" s="18"/>
      <c r="E140" s="2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7"/>
      <c r="B141" s="2"/>
      <c r="C141" s="3"/>
      <c r="D141" s="18"/>
      <c r="E141" s="2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7"/>
      <c r="B142" s="2"/>
      <c r="C142" s="3"/>
      <c r="D142" s="18"/>
      <c r="E142" s="2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7"/>
      <c r="B143" s="2"/>
      <c r="C143" s="3"/>
      <c r="D143" s="18"/>
      <c r="E143" s="2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7"/>
      <c r="B144" s="2"/>
      <c r="C144" s="3"/>
      <c r="D144" s="18"/>
      <c r="E144" s="2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7"/>
      <c r="B145" s="2"/>
      <c r="C145" s="3"/>
      <c r="D145" s="18"/>
      <c r="E145" s="2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7"/>
      <c r="B146" s="2"/>
      <c r="C146" s="3"/>
      <c r="D146" s="18"/>
      <c r="E146" s="2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7"/>
      <c r="B147" s="2"/>
      <c r="C147" s="3"/>
      <c r="D147" s="18"/>
      <c r="E147" s="2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7"/>
      <c r="B148" s="2"/>
      <c r="C148" s="3"/>
      <c r="D148" s="18"/>
      <c r="E148" s="2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7"/>
      <c r="B149" s="2"/>
      <c r="C149" s="3"/>
      <c r="D149" s="18"/>
      <c r="E149" s="2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7"/>
      <c r="B150" s="2"/>
      <c r="C150" s="3"/>
      <c r="D150" s="18"/>
      <c r="E150" s="2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7"/>
      <c r="B151" s="2"/>
      <c r="C151" s="3"/>
      <c r="D151" s="18"/>
      <c r="E151" s="2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7"/>
      <c r="B152" s="2"/>
      <c r="C152" s="3"/>
      <c r="D152" s="18"/>
      <c r="E152" s="2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7"/>
      <c r="B153" s="2"/>
      <c r="C153" s="3"/>
      <c r="D153" s="18"/>
      <c r="E153" s="2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7"/>
      <c r="B154" s="2"/>
      <c r="C154" s="3"/>
      <c r="D154" s="18"/>
      <c r="E154" s="2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7"/>
      <c r="B155" s="2"/>
      <c r="C155" s="3"/>
      <c r="D155" s="18"/>
      <c r="E155" s="2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7"/>
      <c r="B156" s="2"/>
      <c r="C156" s="3"/>
      <c r="D156" s="18"/>
      <c r="E156" s="2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7"/>
      <c r="B157" s="2"/>
      <c r="C157" s="3"/>
      <c r="D157" s="18"/>
      <c r="E157" s="2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7"/>
      <c r="B158" s="2"/>
      <c r="C158" s="3"/>
      <c r="D158" s="18"/>
      <c r="E158" s="2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7"/>
      <c r="B159" s="2"/>
      <c r="C159" s="3"/>
      <c r="D159" s="18"/>
      <c r="E159" s="2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7"/>
      <c r="B160" s="2"/>
      <c r="C160" s="3"/>
      <c r="D160" s="18"/>
      <c r="E160" s="2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7"/>
      <c r="B161" s="2"/>
      <c r="C161" s="3"/>
      <c r="D161" s="18"/>
      <c r="E161" s="2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7"/>
      <c r="B162" s="2"/>
      <c r="C162" s="3"/>
      <c r="D162" s="18"/>
      <c r="E162" s="2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7"/>
      <c r="B163" s="2"/>
      <c r="C163" s="3"/>
      <c r="D163" s="18"/>
      <c r="E163" s="2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7"/>
      <c r="B164" s="2"/>
      <c r="C164" s="3"/>
      <c r="D164" s="18"/>
      <c r="E164" s="2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7"/>
      <c r="B165" s="2"/>
      <c r="C165" s="3"/>
      <c r="D165" s="18"/>
      <c r="E165" s="2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7"/>
      <c r="B166" s="2"/>
      <c r="C166" s="3"/>
      <c r="D166" s="18"/>
      <c r="E166" s="2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7"/>
      <c r="B167" s="2"/>
      <c r="C167" s="3"/>
      <c r="D167" s="18"/>
      <c r="E167" s="2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7"/>
      <c r="B168" s="2"/>
      <c r="C168" s="3"/>
      <c r="D168" s="18"/>
      <c r="E168" s="2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7"/>
      <c r="B169" s="2"/>
      <c r="C169" s="3"/>
      <c r="D169" s="18"/>
      <c r="E169" s="2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7"/>
      <c r="B170" s="2"/>
      <c r="C170" s="3"/>
      <c r="D170" s="18"/>
      <c r="E170" s="2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7"/>
      <c r="B171" s="2"/>
      <c r="C171" s="3"/>
      <c r="D171" s="18"/>
      <c r="E171" s="2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7"/>
      <c r="B172" s="2"/>
      <c r="C172" s="3"/>
      <c r="D172" s="18"/>
      <c r="E172" s="2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7"/>
      <c r="B173" s="2"/>
      <c r="C173" s="3"/>
      <c r="D173" s="18"/>
      <c r="E173" s="2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7"/>
      <c r="B174" s="2"/>
      <c r="C174" s="3"/>
      <c r="D174" s="18"/>
      <c r="E174" s="2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7"/>
      <c r="B175" s="2"/>
      <c r="C175" s="3"/>
      <c r="D175" s="18"/>
      <c r="E175" s="2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7"/>
      <c r="B176" s="2"/>
      <c r="C176" s="3"/>
      <c r="D176" s="18"/>
      <c r="E176" s="2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7"/>
      <c r="B177" s="2"/>
      <c r="C177" s="3"/>
      <c r="D177" s="18"/>
      <c r="E177" s="2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7"/>
      <c r="B178" s="2"/>
      <c r="C178" s="3"/>
      <c r="D178" s="18"/>
      <c r="E178" s="2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7"/>
      <c r="B179" s="2"/>
      <c r="C179" s="3"/>
      <c r="D179" s="18"/>
      <c r="E179" s="2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7"/>
      <c r="B180" s="2"/>
      <c r="C180" s="3"/>
      <c r="D180" s="18"/>
      <c r="E180" s="2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7"/>
      <c r="B181" s="2"/>
      <c r="C181" s="3"/>
      <c r="D181" s="18"/>
      <c r="E181" s="2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7"/>
      <c r="B182" s="2"/>
      <c r="C182" s="3"/>
      <c r="D182" s="18"/>
      <c r="E182" s="2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7"/>
      <c r="B183" s="2"/>
      <c r="C183" s="3"/>
      <c r="D183" s="18"/>
      <c r="E183" s="2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7"/>
      <c r="B184" s="2"/>
      <c r="C184" s="3"/>
      <c r="D184" s="18"/>
      <c r="E184" s="2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7"/>
      <c r="B185" s="2"/>
      <c r="C185" s="3"/>
      <c r="D185" s="18"/>
      <c r="E185" s="2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7"/>
      <c r="B186" s="2"/>
      <c r="C186" s="3"/>
      <c r="D186" s="18"/>
      <c r="E186" s="2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7"/>
      <c r="B187" s="2"/>
      <c r="C187" s="3"/>
      <c r="D187" s="18"/>
      <c r="E187" s="2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7"/>
      <c r="B188" s="2"/>
      <c r="C188" s="3"/>
      <c r="D188" s="18"/>
      <c r="E188" s="2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7"/>
      <c r="B189" s="2"/>
      <c r="C189" s="3"/>
      <c r="D189" s="18"/>
      <c r="E189" s="2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7"/>
      <c r="B190" s="2"/>
      <c r="C190" s="3"/>
      <c r="D190" s="18"/>
      <c r="E190" s="2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7"/>
      <c r="B191" s="2"/>
      <c r="C191" s="3"/>
      <c r="D191" s="18"/>
      <c r="E191" s="2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7"/>
      <c r="B192" s="2"/>
      <c r="C192" s="3"/>
      <c r="D192" s="18"/>
      <c r="E192" s="2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7"/>
      <c r="B193" s="2"/>
      <c r="C193" s="3"/>
      <c r="D193" s="18"/>
      <c r="E193" s="2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7"/>
      <c r="B194" s="2"/>
      <c r="C194" s="3"/>
      <c r="D194" s="18"/>
      <c r="E194" s="2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7"/>
      <c r="B195" s="2"/>
      <c r="C195" s="3"/>
      <c r="D195" s="18"/>
      <c r="E195" s="2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7"/>
      <c r="B196" s="2"/>
      <c r="C196" s="3"/>
      <c r="D196" s="18"/>
      <c r="E196" s="2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7"/>
      <c r="B197" s="2"/>
      <c r="C197" s="3"/>
      <c r="D197" s="18"/>
      <c r="E197" s="2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7"/>
      <c r="B198" s="2"/>
      <c r="C198" s="3"/>
      <c r="D198" s="18"/>
      <c r="E198" s="2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7"/>
      <c r="B199" s="2"/>
      <c r="C199" s="3"/>
      <c r="D199" s="18"/>
      <c r="E199" s="2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7"/>
      <c r="B200" s="2"/>
      <c r="C200" s="3"/>
      <c r="D200" s="18"/>
      <c r="E200" s="2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7"/>
      <c r="B201" s="2"/>
      <c r="C201" s="3"/>
      <c r="D201" s="18"/>
      <c r="E201" s="2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7"/>
      <c r="B202" s="2"/>
      <c r="C202" s="3"/>
      <c r="D202" s="18"/>
      <c r="E202" s="2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7"/>
      <c r="B203" s="2"/>
      <c r="C203" s="3"/>
      <c r="D203" s="18"/>
      <c r="E203" s="2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7"/>
      <c r="B204" s="2"/>
      <c r="C204" s="3"/>
      <c r="D204" s="18"/>
      <c r="E204" s="2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7"/>
      <c r="B205" s="2"/>
      <c r="C205" s="3"/>
      <c r="D205" s="18"/>
      <c r="E205" s="2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7"/>
      <c r="B206" s="2"/>
      <c r="C206" s="3"/>
      <c r="D206" s="18"/>
      <c r="E206" s="2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7"/>
      <c r="B207" s="2"/>
      <c r="C207" s="3"/>
      <c r="D207" s="18"/>
      <c r="E207" s="2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7"/>
      <c r="B208" s="2"/>
      <c r="C208" s="3"/>
      <c r="D208" s="18"/>
      <c r="E208" s="2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7"/>
      <c r="B209" s="2"/>
      <c r="C209" s="3"/>
      <c r="D209" s="18"/>
      <c r="E209" s="2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7"/>
      <c r="B210" s="2"/>
      <c r="C210" s="3"/>
      <c r="D210" s="18"/>
      <c r="E210" s="2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7"/>
      <c r="B211" s="2"/>
      <c r="C211" s="3"/>
      <c r="D211" s="18"/>
      <c r="E211" s="2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7"/>
      <c r="B212" s="2"/>
      <c r="C212" s="3"/>
      <c r="D212" s="18"/>
      <c r="E212" s="2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7"/>
      <c r="B213" s="2"/>
      <c r="C213" s="3"/>
      <c r="D213" s="18"/>
      <c r="E213" s="2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7"/>
      <c r="B214" s="2"/>
      <c r="C214" s="3"/>
      <c r="D214" s="18"/>
      <c r="E214" s="2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7"/>
      <c r="B215" s="2"/>
      <c r="C215" s="3"/>
      <c r="D215" s="18"/>
      <c r="E215" s="2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7"/>
      <c r="B216" s="2"/>
      <c r="C216" s="3"/>
      <c r="D216" s="18"/>
      <c r="E216" s="2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7"/>
      <c r="B217" s="2"/>
      <c r="C217" s="3"/>
      <c r="D217" s="18"/>
      <c r="E217" s="2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7"/>
      <c r="B218" s="2"/>
      <c r="C218" s="3"/>
      <c r="D218" s="18"/>
      <c r="E218" s="2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7"/>
      <c r="B219" s="2"/>
      <c r="C219" s="3"/>
      <c r="D219" s="18"/>
      <c r="E219" s="2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7"/>
      <c r="B220" s="2"/>
      <c r="C220" s="3"/>
      <c r="D220" s="18"/>
      <c r="E220" s="2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7"/>
      <c r="B221" s="2"/>
      <c r="C221" s="3"/>
      <c r="D221" s="18"/>
      <c r="E221" s="2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7"/>
      <c r="B222" s="2"/>
      <c r="C222" s="3"/>
      <c r="D222" s="18"/>
      <c r="E222" s="2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7"/>
      <c r="B223" s="2"/>
      <c r="C223" s="3"/>
      <c r="D223" s="18"/>
      <c r="E223" s="2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7"/>
      <c r="B224" s="2"/>
      <c r="C224" s="3"/>
      <c r="D224" s="18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7"/>
      <c r="B225" s="2"/>
      <c r="C225" s="3"/>
      <c r="D225" s="18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7"/>
      <c r="B226" s="2"/>
      <c r="C226" s="3"/>
      <c r="D226" s="18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7"/>
      <c r="B227" s="2"/>
      <c r="C227" s="3"/>
      <c r="D227" s="18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7"/>
      <c r="B228" s="2"/>
      <c r="C228" s="3"/>
      <c r="D228" s="18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7"/>
      <c r="B229" s="2"/>
      <c r="C229" s="3"/>
      <c r="D229" s="18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7"/>
      <c r="B230" s="2"/>
      <c r="C230" s="3"/>
      <c r="D230" s="18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7"/>
      <c r="B231" s="2"/>
      <c r="C231" s="3"/>
      <c r="D231" s="18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7"/>
      <c r="B232" s="2"/>
      <c r="C232" s="3"/>
      <c r="D232" s="18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7"/>
      <c r="B233" s="2"/>
      <c r="C233" s="3"/>
      <c r="D233" s="18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7"/>
      <c r="B234" s="2"/>
      <c r="C234" s="3"/>
      <c r="D234" s="18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7"/>
      <c r="B235" s="2"/>
      <c r="C235" s="3"/>
      <c r="D235" s="18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7"/>
      <c r="B236" s="2"/>
      <c r="C236" s="3"/>
      <c r="D236" s="18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7"/>
      <c r="B237" s="2"/>
      <c r="C237" s="3"/>
      <c r="D237" s="18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7"/>
      <c r="B238" s="2"/>
      <c r="C238" s="3"/>
      <c r="D238" s="18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7"/>
      <c r="B239" s="2"/>
      <c r="C239" s="3"/>
      <c r="D239" s="18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7"/>
      <c r="B240" s="2"/>
      <c r="C240" s="3"/>
      <c r="D240" s="18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7"/>
      <c r="B241" s="2"/>
      <c r="C241" s="3"/>
      <c r="D241" s="18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7"/>
      <c r="B242" s="2"/>
      <c r="C242" s="3"/>
      <c r="D242" s="18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7"/>
      <c r="B243" s="2"/>
      <c r="C243" s="3"/>
      <c r="D243" s="18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7"/>
      <c r="B244" s="2"/>
      <c r="C244" s="3"/>
      <c r="D244" s="18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7"/>
      <c r="B245" s="2"/>
      <c r="C245" s="3"/>
      <c r="D245" s="18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7"/>
      <c r="B246" s="2"/>
      <c r="C246" s="3"/>
      <c r="D246" s="18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7"/>
      <c r="B247" s="2"/>
      <c r="C247" s="3"/>
      <c r="D247" s="18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7"/>
      <c r="B248" s="2"/>
      <c r="C248" s="3"/>
      <c r="D248" s="18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7"/>
      <c r="B249" s="2"/>
      <c r="C249" s="3"/>
      <c r="D249" s="18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7"/>
      <c r="B250" s="2"/>
      <c r="C250" s="3"/>
      <c r="D250" s="18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7"/>
      <c r="B251" s="2"/>
      <c r="C251" s="3"/>
      <c r="D251" s="18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7"/>
      <c r="B252" s="2"/>
      <c r="C252" s="3"/>
      <c r="D252" s="18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7"/>
      <c r="B253" s="2"/>
      <c r="C253" s="3"/>
      <c r="D253" s="18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7"/>
      <c r="B254" s="2"/>
      <c r="C254" s="3"/>
      <c r="D254" s="18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7"/>
      <c r="B255" s="2"/>
      <c r="C255" s="3"/>
      <c r="D255" s="18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7"/>
      <c r="B256" s="2"/>
      <c r="C256" s="3"/>
      <c r="D256" s="18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7"/>
      <c r="B257" s="2"/>
      <c r="C257" s="3"/>
      <c r="D257" s="18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7"/>
      <c r="B258" s="2"/>
      <c r="C258" s="3"/>
      <c r="D258" s="18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7"/>
      <c r="B259" s="2"/>
      <c r="C259" s="3"/>
      <c r="D259" s="18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7"/>
      <c r="B260" s="2"/>
      <c r="C260" s="3"/>
      <c r="D260" s="18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7"/>
      <c r="B261" s="2"/>
      <c r="C261" s="3"/>
      <c r="D261" s="18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7"/>
      <c r="B262" s="2"/>
      <c r="C262" s="3"/>
      <c r="D262" s="18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7"/>
      <c r="B263" s="2"/>
      <c r="C263" s="3"/>
      <c r="D263" s="18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7"/>
      <c r="B264" s="2"/>
      <c r="C264" s="3"/>
      <c r="D264" s="18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7"/>
      <c r="B265" s="2"/>
      <c r="C265" s="3"/>
      <c r="D265" s="18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7"/>
      <c r="B266" s="2"/>
      <c r="C266" s="3"/>
      <c r="D266" s="18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7"/>
      <c r="B267" s="2"/>
      <c r="C267" s="3"/>
      <c r="D267" s="18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7"/>
      <c r="B268" s="2"/>
      <c r="C268" s="3"/>
      <c r="D268" s="18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7"/>
      <c r="B269" s="2"/>
      <c r="C269" s="3"/>
      <c r="D269" s="18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7"/>
      <c r="B270" s="2"/>
      <c r="C270" s="3"/>
      <c r="D270" s="18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7"/>
      <c r="B271" s="2"/>
      <c r="C271" s="3"/>
      <c r="D271" s="18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7"/>
      <c r="B272" s="2"/>
      <c r="C272" s="3"/>
      <c r="D272" s="18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7"/>
      <c r="B273" s="2"/>
      <c r="C273" s="3"/>
      <c r="D273" s="18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7"/>
      <c r="B274" s="2"/>
      <c r="C274" s="3"/>
      <c r="D274" s="18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7"/>
      <c r="B275" s="2"/>
      <c r="C275" s="3"/>
      <c r="D275" s="18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7"/>
      <c r="B276" s="2"/>
      <c r="C276" s="3"/>
      <c r="D276" s="18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7"/>
      <c r="B277" s="2"/>
      <c r="C277" s="3"/>
      <c r="D277" s="18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7"/>
      <c r="B278" s="2"/>
      <c r="C278" s="3"/>
      <c r="D278" s="18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7"/>
      <c r="B279" s="2"/>
      <c r="C279" s="3"/>
      <c r="D279" s="18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7"/>
      <c r="B280" s="2"/>
      <c r="C280" s="3"/>
      <c r="D280" s="18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7"/>
      <c r="B281" s="2"/>
      <c r="C281" s="3"/>
      <c r="D281" s="18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7"/>
      <c r="B282" s="2"/>
      <c r="C282" s="3"/>
      <c r="D282" s="18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7"/>
      <c r="B283" s="2"/>
      <c r="C283" s="3"/>
      <c r="D283" s="18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7"/>
      <c r="B284" s="2"/>
      <c r="C284" s="3"/>
      <c r="D284" s="18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7"/>
      <c r="B285" s="2"/>
      <c r="C285" s="3"/>
      <c r="D285" s="18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7"/>
      <c r="B286" s="2"/>
      <c r="C286" s="3"/>
      <c r="D286" s="18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7"/>
      <c r="B287" s="2"/>
      <c r="C287" s="3"/>
      <c r="D287" s="18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7"/>
      <c r="B288" s="2"/>
      <c r="C288" s="3"/>
      <c r="D288" s="18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7"/>
      <c r="B289" s="2"/>
      <c r="C289" s="3"/>
      <c r="D289" s="18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7"/>
      <c r="B290" s="2"/>
      <c r="C290" s="3"/>
      <c r="D290" s="18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7"/>
      <c r="B291" s="2"/>
      <c r="C291" s="3"/>
      <c r="D291" s="18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7"/>
      <c r="B292" s="2"/>
      <c r="C292" s="3"/>
      <c r="D292" s="18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7"/>
      <c r="B293" s="2"/>
      <c r="C293" s="3"/>
      <c r="D293" s="18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7"/>
      <c r="B294" s="2"/>
      <c r="C294" s="3"/>
      <c r="D294" s="18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7"/>
      <c r="B295" s="2"/>
      <c r="C295" s="3"/>
      <c r="D295" s="18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7"/>
      <c r="B296" s="2"/>
      <c r="C296" s="3"/>
      <c r="D296" s="18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7"/>
      <c r="B297" s="2"/>
      <c r="C297" s="3"/>
      <c r="D297" s="18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7"/>
      <c r="B298" s="2"/>
      <c r="C298" s="3"/>
      <c r="D298" s="18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7"/>
      <c r="B299" s="2"/>
      <c r="C299" s="3"/>
      <c r="D299" s="18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7"/>
      <c r="B300" s="2"/>
      <c r="C300" s="3"/>
      <c r="D300" s="18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7"/>
      <c r="B301" s="2"/>
      <c r="C301" s="3"/>
      <c r="D301" s="18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7"/>
      <c r="B302" s="2"/>
      <c r="C302" s="3"/>
      <c r="D302" s="18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7"/>
      <c r="B303" s="2"/>
      <c r="C303" s="3"/>
      <c r="D303" s="18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7"/>
      <c r="B304" s="2"/>
      <c r="C304" s="3"/>
      <c r="D304" s="18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7"/>
      <c r="B305" s="2"/>
      <c r="C305" s="3"/>
      <c r="D305" s="18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7"/>
      <c r="B306" s="2"/>
      <c r="C306" s="3"/>
      <c r="D306" s="18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7"/>
      <c r="B307" s="2"/>
      <c r="C307" s="3"/>
      <c r="D307" s="18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7"/>
      <c r="B308" s="2"/>
      <c r="C308" s="3"/>
      <c r="D308" s="18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7"/>
      <c r="B309" s="2"/>
      <c r="C309" s="3"/>
      <c r="D309" s="18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7"/>
      <c r="B310" s="2"/>
      <c r="C310" s="3"/>
      <c r="D310" s="18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7"/>
      <c r="B311" s="2"/>
      <c r="C311" s="3"/>
      <c r="D311" s="18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7"/>
      <c r="B312" s="2"/>
      <c r="C312" s="3"/>
      <c r="D312" s="18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7"/>
      <c r="B313" s="2"/>
      <c r="C313" s="3"/>
      <c r="D313" s="18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7"/>
      <c r="B314" s="2"/>
      <c r="C314" s="3"/>
      <c r="D314" s="18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7"/>
      <c r="B315" s="2"/>
      <c r="C315" s="3"/>
      <c r="D315" s="18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7"/>
      <c r="B316" s="2"/>
      <c r="C316" s="3"/>
      <c r="D316" s="18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7"/>
      <c r="B317" s="2"/>
      <c r="C317" s="3"/>
      <c r="D317" s="18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7"/>
      <c r="B318" s="2"/>
      <c r="C318" s="3"/>
      <c r="D318" s="18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7"/>
      <c r="B319" s="2"/>
      <c r="C319" s="3"/>
      <c r="D319" s="18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7"/>
      <c r="B320" s="2"/>
      <c r="C320" s="3"/>
      <c r="D320" s="18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7"/>
      <c r="B321" s="2"/>
      <c r="C321" s="3"/>
      <c r="D321" s="18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7"/>
      <c r="B322" s="2"/>
      <c r="C322" s="3"/>
      <c r="D322" s="18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7"/>
      <c r="B323" s="2"/>
      <c r="C323" s="3"/>
      <c r="D323" s="18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7"/>
      <c r="B324" s="2"/>
      <c r="C324" s="3"/>
      <c r="D324" s="18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7"/>
      <c r="B325" s="2"/>
      <c r="C325" s="3"/>
      <c r="D325" s="18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7"/>
      <c r="B326" s="2"/>
      <c r="C326" s="3"/>
      <c r="D326" s="18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7"/>
      <c r="B327" s="2"/>
      <c r="C327" s="3"/>
      <c r="D327" s="18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7"/>
      <c r="B328" s="2"/>
      <c r="C328" s="3"/>
      <c r="D328" s="18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7"/>
      <c r="B329" s="2"/>
      <c r="C329" s="3"/>
      <c r="D329" s="18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7"/>
      <c r="B330" s="2"/>
      <c r="C330" s="3"/>
      <c r="D330" s="18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7"/>
      <c r="B331" s="2"/>
      <c r="C331" s="3"/>
      <c r="D331" s="18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7"/>
      <c r="B332" s="2"/>
      <c r="C332" s="3"/>
      <c r="D332" s="18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7"/>
      <c r="B333" s="2"/>
      <c r="C333" s="3"/>
      <c r="D333" s="18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7"/>
      <c r="B334" s="2"/>
      <c r="C334" s="3"/>
      <c r="D334" s="18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7"/>
      <c r="B335" s="2"/>
      <c r="C335" s="3"/>
      <c r="D335" s="18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7"/>
      <c r="B336" s="2"/>
      <c r="C336" s="3"/>
      <c r="D336" s="18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7"/>
      <c r="B337" s="2"/>
      <c r="C337" s="3"/>
      <c r="D337" s="18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7"/>
      <c r="B338" s="2"/>
      <c r="C338" s="3"/>
      <c r="D338" s="18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7"/>
      <c r="B339" s="2"/>
      <c r="C339" s="3"/>
      <c r="D339" s="18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7"/>
      <c r="B340" s="2"/>
      <c r="C340" s="3"/>
      <c r="D340" s="18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7"/>
      <c r="B341" s="2"/>
      <c r="C341" s="3"/>
      <c r="D341" s="18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7"/>
      <c r="B342" s="2"/>
      <c r="C342" s="3"/>
      <c r="D342" s="18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7"/>
      <c r="B343" s="2"/>
      <c r="C343" s="3"/>
      <c r="D343" s="18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7"/>
      <c r="B344" s="2"/>
      <c r="C344" s="3"/>
      <c r="D344" s="18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7"/>
      <c r="B345" s="2"/>
      <c r="C345" s="3"/>
      <c r="D345" s="18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7"/>
      <c r="B346" s="2"/>
      <c r="C346" s="3"/>
      <c r="D346" s="18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7"/>
      <c r="B347" s="2"/>
      <c r="C347" s="3"/>
      <c r="D347" s="18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7"/>
      <c r="B348" s="2"/>
      <c r="C348" s="3"/>
      <c r="D348" s="18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7"/>
      <c r="B349" s="2"/>
      <c r="C349" s="3"/>
      <c r="D349" s="18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7"/>
      <c r="B350" s="2"/>
      <c r="C350" s="3"/>
      <c r="D350" s="18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7"/>
      <c r="B351" s="2"/>
      <c r="C351" s="3"/>
      <c r="D351" s="18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7"/>
      <c r="B352" s="2"/>
      <c r="C352" s="3"/>
      <c r="D352" s="18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7"/>
      <c r="B353" s="2"/>
      <c r="C353" s="3"/>
      <c r="D353" s="18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7"/>
      <c r="B354" s="2"/>
      <c r="C354" s="3"/>
      <c r="D354" s="18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7"/>
      <c r="B355" s="2"/>
      <c r="C355" s="3"/>
      <c r="D355" s="18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7"/>
      <c r="B356" s="2"/>
      <c r="C356" s="3"/>
      <c r="D356" s="18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7"/>
      <c r="B357" s="2"/>
      <c r="C357" s="3"/>
      <c r="D357" s="18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7"/>
      <c r="B358" s="2"/>
      <c r="C358" s="3"/>
      <c r="D358" s="18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7"/>
      <c r="B359" s="2"/>
      <c r="C359" s="3"/>
      <c r="D359" s="18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7"/>
      <c r="B360" s="2"/>
      <c r="C360" s="3"/>
      <c r="D360" s="18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7"/>
      <c r="B361" s="2"/>
      <c r="C361" s="3"/>
      <c r="D361" s="18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7"/>
      <c r="B362" s="2"/>
      <c r="C362" s="3"/>
      <c r="D362" s="18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7"/>
      <c r="B363" s="2"/>
      <c r="C363" s="3"/>
      <c r="D363" s="18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7"/>
      <c r="B364" s="2"/>
      <c r="C364" s="3"/>
      <c r="D364" s="18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7"/>
      <c r="B365" s="2"/>
      <c r="C365" s="3"/>
      <c r="D365" s="18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7"/>
      <c r="B366" s="2"/>
      <c r="C366" s="3"/>
      <c r="D366" s="18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7"/>
      <c r="B367" s="2"/>
      <c r="C367" s="3"/>
      <c r="D367" s="18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7"/>
      <c r="B368" s="2"/>
      <c r="C368" s="3"/>
      <c r="D368" s="18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7"/>
      <c r="B369" s="2"/>
      <c r="C369" s="3"/>
      <c r="D369" s="18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7"/>
      <c r="B370" s="2"/>
      <c r="C370" s="3"/>
      <c r="D370" s="18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7"/>
      <c r="B371" s="2"/>
      <c r="C371" s="3"/>
      <c r="D371" s="18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7"/>
      <c r="B372" s="2"/>
      <c r="C372" s="3"/>
      <c r="D372" s="18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7"/>
      <c r="B373" s="2"/>
      <c r="C373" s="3"/>
      <c r="D373" s="18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7"/>
      <c r="B374" s="2"/>
      <c r="C374" s="3"/>
      <c r="D374" s="18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7"/>
      <c r="B375" s="2"/>
      <c r="C375" s="3"/>
      <c r="D375" s="18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7"/>
      <c r="B376" s="2"/>
      <c r="C376" s="3"/>
      <c r="D376" s="18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7"/>
      <c r="B377" s="2"/>
      <c r="C377" s="3"/>
      <c r="D377" s="18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7"/>
      <c r="B378" s="2"/>
      <c r="C378" s="3"/>
      <c r="D378" s="18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7"/>
      <c r="B379" s="2"/>
      <c r="C379" s="3"/>
      <c r="D379" s="18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7"/>
      <c r="B380" s="2"/>
      <c r="C380" s="3"/>
      <c r="D380" s="18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7"/>
      <c r="B381" s="2"/>
      <c r="C381" s="3"/>
      <c r="D381" s="18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7"/>
      <c r="B382" s="2"/>
      <c r="C382" s="3"/>
      <c r="D382" s="18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7"/>
      <c r="B383" s="2"/>
      <c r="C383" s="3"/>
      <c r="D383" s="18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7"/>
      <c r="B384" s="2"/>
      <c r="C384" s="3"/>
      <c r="D384" s="18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7"/>
      <c r="B385" s="2"/>
      <c r="C385" s="3"/>
      <c r="D385" s="18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7"/>
      <c r="B386" s="2"/>
      <c r="C386" s="3"/>
      <c r="D386" s="18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7"/>
      <c r="B387" s="2"/>
      <c r="C387" s="3"/>
      <c r="D387" s="18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7"/>
      <c r="B388" s="2"/>
      <c r="C388" s="3"/>
      <c r="D388" s="18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7"/>
      <c r="B389" s="2"/>
      <c r="C389" s="3"/>
      <c r="D389" s="18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7"/>
      <c r="B390" s="2"/>
      <c r="C390" s="3"/>
      <c r="D390" s="18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7"/>
      <c r="B391" s="2"/>
      <c r="C391" s="3"/>
      <c r="D391" s="18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7"/>
      <c r="B392" s="2"/>
      <c r="C392" s="3"/>
      <c r="D392" s="18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7"/>
      <c r="B393" s="2"/>
      <c r="C393" s="3"/>
      <c r="D393" s="18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7"/>
      <c r="B394" s="2"/>
      <c r="C394" s="3"/>
      <c r="D394" s="18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7"/>
      <c r="B395" s="2"/>
      <c r="C395" s="3"/>
      <c r="D395" s="18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7"/>
      <c r="B396" s="2"/>
      <c r="C396" s="3"/>
      <c r="D396" s="18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7"/>
      <c r="B397" s="2"/>
      <c r="C397" s="3"/>
      <c r="D397" s="18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7"/>
      <c r="B398" s="2"/>
      <c r="C398" s="3"/>
      <c r="D398" s="18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7"/>
      <c r="B399" s="2"/>
      <c r="C399" s="3"/>
      <c r="D399" s="18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7"/>
      <c r="B400" s="2"/>
      <c r="C400" s="3"/>
      <c r="D400" s="18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7"/>
      <c r="B401" s="2"/>
      <c r="C401" s="3"/>
      <c r="D401" s="18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7"/>
      <c r="B402" s="2"/>
      <c r="C402" s="3"/>
      <c r="D402" s="18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7"/>
      <c r="B403" s="2"/>
      <c r="C403" s="3"/>
      <c r="D403" s="18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7"/>
      <c r="B404" s="2"/>
      <c r="C404" s="3"/>
      <c r="D404" s="18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7"/>
      <c r="B405" s="2"/>
      <c r="C405" s="3"/>
      <c r="D405" s="18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7"/>
      <c r="B406" s="2"/>
      <c r="C406" s="3"/>
      <c r="D406" s="18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7"/>
      <c r="B407" s="2"/>
      <c r="C407" s="3"/>
      <c r="D407" s="18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7"/>
      <c r="B408" s="2"/>
      <c r="C408" s="3"/>
      <c r="D408" s="18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7"/>
      <c r="B409" s="2"/>
      <c r="C409" s="3"/>
      <c r="D409" s="18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7"/>
      <c r="B410" s="2"/>
      <c r="C410" s="3"/>
      <c r="D410" s="18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7"/>
      <c r="B411" s="2"/>
      <c r="C411" s="3"/>
      <c r="D411" s="18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7"/>
      <c r="B412" s="2"/>
      <c r="C412" s="3"/>
      <c r="D412" s="18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7"/>
      <c r="B413" s="2"/>
      <c r="C413" s="3"/>
      <c r="D413" s="18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7"/>
      <c r="B414" s="2"/>
      <c r="C414" s="3"/>
      <c r="D414" s="18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7"/>
      <c r="B415" s="2"/>
      <c r="C415" s="3"/>
      <c r="D415" s="18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7"/>
      <c r="B416" s="2"/>
      <c r="C416" s="3"/>
      <c r="D416" s="18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7"/>
      <c r="B417" s="2"/>
      <c r="C417" s="3"/>
      <c r="D417" s="18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7"/>
      <c r="B418" s="2"/>
      <c r="C418" s="3"/>
      <c r="D418" s="18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7"/>
      <c r="B419" s="2"/>
      <c r="C419" s="3"/>
      <c r="D419" s="18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7"/>
      <c r="B420" s="2"/>
      <c r="C420" s="3"/>
      <c r="D420" s="18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7"/>
      <c r="B421" s="2"/>
      <c r="C421" s="3"/>
      <c r="D421" s="18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7"/>
      <c r="B422" s="2"/>
      <c r="C422" s="3"/>
      <c r="D422" s="18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7"/>
      <c r="B423" s="2"/>
      <c r="C423" s="3"/>
      <c r="D423" s="18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7"/>
      <c r="B424" s="2"/>
      <c r="C424" s="3"/>
      <c r="D424" s="18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7"/>
      <c r="B425" s="2"/>
      <c r="C425" s="3"/>
      <c r="D425" s="18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7"/>
      <c r="B426" s="2"/>
      <c r="C426" s="3"/>
      <c r="D426" s="18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7"/>
      <c r="B427" s="2"/>
      <c r="C427" s="3"/>
      <c r="D427" s="18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7"/>
      <c r="B428" s="2"/>
      <c r="C428" s="3"/>
      <c r="D428" s="18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7"/>
      <c r="B429" s="2"/>
      <c r="C429" s="3"/>
      <c r="D429" s="18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7"/>
      <c r="B430" s="2"/>
      <c r="C430" s="3"/>
      <c r="D430" s="18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7"/>
      <c r="B431" s="2"/>
      <c r="C431" s="3"/>
      <c r="D431" s="18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7"/>
      <c r="B432" s="2"/>
      <c r="C432" s="3"/>
      <c r="D432" s="18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7"/>
      <c r="B433" s="2"/>
      <c r="C433" s="3"/>
      <c r="D433" s="18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7"/>
      <c r="B434" s="2"/>
      <c r="C434" s="3"/>
      <c r="D434" s="18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7"/>
      <c r="B435" s="2"/>
      <c r="C435" s="3"/>
      <c r="D435" s="18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7"/>
      <c r="B436" s="2"/>
      <c r="C436" s="3"/>
      <c r="D436" s="18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7"/>
      <c r="B437" s="2"/>
      <c r="C437" s="3"/>
      <c r="D437" s="18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7"/>
      <c r="B438" s="2"/>
      <c r="C438" s="3"/>
      <c r="D438" s="18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7"/>
      <c r="B439" s="2"/>
      <c r="C439" s="3"/>
      <c r="D439" s="18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7"/>
      <c r="B440" s="2"/>
      <c r="C440" s="3"/>
      <c r="D440" s="18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7"/>
      <c r="B441" s="2"/>
      <c r="C441" s="3"/>
      <c r="D441" s="18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7"/>
      <c r="B442" s="2"/>
      <c r="C442" s="3"/>
      <c r="D442" s="18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7"/>
      <c r="B443" s="2"/>
      <c r="C443" s="3"/>
      <c r="D443" s="18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7"/>
      <c r="B444" s="2"/>
      <c r="C444" s="3"/>
      <c r="D444" s="18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7"/>
      <c r="B445" s="2"/>
      <c r="C445" s="3"/>
      <c r="D445" s="18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7"/>
      <c r="B446" s="2"/>
      <c r="C446" s="3"/>
      <c r="D446" s="18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7"/>
      <c r="B447" s="2"/>
      <c r="C447" s="3"/>
      <c r="D447" s="18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7"/>
      <c r="B448" s="2"/>
      <c r="C448" s="3"/>
      <c r="D448" s="18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7"/>
      <c r="B449" s="2"/>
      <c r="C449" s="3"/>
      <c r="D449" s="18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7"/>
      <c r="B450" s="2"/>
      <c r="C450" s="3"/>
      <c r="D450" s="18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7"/>
      <c r="B451" s="2"/>
      <c r="C451" s="3"/>
      <c r="D451" s="18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7"/>
      <c r="B452" s="2"/>
      <c r="C452" s="3"/>
      <c r="D452" s="18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7"/>
      <c r="B453" s="2"/>
      <c r="C453" s="3"/>
      <c r="D453" s="18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7"/>
      <c r="B454" s="2"/>
      <c r="C454" s="3"/>
      <c r="D454" s="18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7"/>
      <c r="B455" s="2"/>
      <c r="C455" s="3"/>
      <c r="D455" s="18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7"/>
      <c r="B456" s="2"/>
      <c r="C456" s="3"/>
      <c r="D456" s="18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7"/>
      <c r="B457" s="2"/>
      <c r="C457" s="3"/>
      <c r="D457" s="18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7"/>
      <c r="B458" s="2"/>
      <c r="C458" s="3"/>
      <c r="D458" s="18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7"/>
      <c r="B459" s="2"/>
      <c r="C459" s="3"/>
      <c r="D459" s="18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7"/>
      <c r="B460" s="2"/>
      <c r="C460" s="3"/>
      <c r="D460" s="18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7"/>
      <c r="B461" s="2"/>
      <c r="C461" s="3"/>
      <c r="D461" s="18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7"/>
      <c r="B462" s="2"/>
      <c r="C462" s="3"/>
      <c r="D462" s="18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7"/>
      <c r="B463" s="2"/>
      <c r="C463" s="3"/>
      <c r="D463" s="18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7"/>
      <c r="B464" s="2"/>
      <c r="C464" s="3"/>
      <c r="D464" s="18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7"/>
      <c r="B465" s="2"/>
      <c r="C465" s="3"/>
      <c r="D465" s="18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7"/>
      <c r="B466" s="2"/>
      <c r="C466" s="3"/>
      <c r="D466" s="18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7"/>
      <c r="B467" s="2"/>
      <c r="C467" s="3"/>
      <c r="D467" s="18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7"/>
      <c r="B468" s="2"/>
      <c r="C468" s="3"/>
      <c r="D468" s="18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7"/>
      <c r="B469" s="2"/>
      <c r="C469" s="3"/>
      <c r="D469" s="18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7"/>
      <c r="B470" s="2"/>
      <c r="C470" s="3"/>
      <c r="D470" s="18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7"/>
      <c r="B471" s="2"/>
      <c r="C471" s="3"/>
      <c r="D471" s="18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7"/>
      <c r="B472" s="2"/>
      <c r="C472" s="3"/>
      <c r="D472" s="18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7"/>
      <c r="B473" s="2"/>
      <c r="C473" s="3"/>
      <c r="D473" s="18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7"/>
      <c r="B474" s="2"/>
      <c r="C474" s="3"/>
      <c r="D474" s="18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7"/>
      <c r="B475" s="2"/>
      <c r="C475" s="3"/>
      <c r="D475" s="18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7"/>
      <c r="B476" s="2"/>
      <c r="C476" s="3"/>
      <c r="D476" s="18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7"/>
      <c r="B477" s="2"/>
      <c r="C477" s="3"/>
      <c r="D477" s="18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7"/>
      <c r="B478" s="2"/>
      <c r="C478" s="3"/>
      <c r="D478" s="18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7"/>
      <c r="B479" s="2"/>
      <c r="C479" s="3"/>
      <c r="D479" s="18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7"/>
      <c r="B480" s="2"/>
      <c r="C480" s="3"/>
      <c r="D480" s="18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7"/>
      <c r="B481" s="2"/>
      <c r="C481" s="3"/>
      <c r="D481" s="18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7"/>
      <c r="B482" s="2"/>
      <c r="C482" s="3"/>
      <c r="D482" s="18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7"/>
      <c r="B483" s="2"/>
      <c r="C483" s="3"/>
      <c r="D483" s="18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7"/>
      <c r="B484" s="2"/>
      <c r="C484" s="3"/>
      <c r="D484" s="18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7"/>
      <c r="B485" s="2"/>
      <c r="C485" s="3"/>
      <c r="D485" s="18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7"/>
      <c r="B486" s="2"/>
      <c r="C486" s="3"/>
      <c r="D486" s="18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7"/>
      <c r="B487" s="2"/>
      <c r="C487" s="3"/>
      <c r="D487" s="18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7"/>
      <c r="B488" s="2"/>
      <c r="C488" s="3"/>
      <c r="D488" s="18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7"/>
      <c r="B489" s="2"/>
      <c r="C489" s="3"/>
      <c r="D489" s="18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7"/>
      <c r="B490" s="2"/>
      <c r="C490" s="3"/>
      <c r="D490" s="18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7"/>
      <c r="B491" s="2"/>
      <c r="C491" s="3"/>
      <c r="D491" s="18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7"/>
      <c r="B492" s="2"/>
      <c r="C492" s="3"/>
      <c r="D492" s="18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7"/>
      <c r="B493" s="2"/>
      <c r="C493" s="3"/>
      <c r="D493" s="18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7"/>
      <c r="B494" s="2"/>
      <c r="C494" s="3"/>
      <c r="D494" s="18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7"/>
      <c r="B495" s="2"/>
      <c r="C495" s="3"/>
      <c r="D495" s="18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7"/>
      <c r="B496" s="2"/>
      <c r="C496" s="3"/>
      <c r="D496" s="18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7"/>
      <c r="B497" s="2"/>
      <c r="C497" s="3"/>
      <c r="D497" s="18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7"/>
      <c r="B498" s="2"/>
      <c r="C498" s="3"/>
      <c r="D498" s="18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7"/>
      <c r="B499" s="2"/>
      <c r="C499" s="3"/>
      <c r="D499" s="18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7"/>
      <c r="B500" s="2"/>
      <c r="C500" s="3"/>
      <c r="D500" s="18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7"/>
      <c r="B501" s="2"/>
      <c r="C501" s="3"/>
      <c r="D501" s="18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7"/>
      <c r="B502" s="2"/>
      <c r="C502" s="3"/>
      <c r="D502" s="18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7"/>
      <c r="B503" s="2"/>
      <c r="C503" s="3"/>
      <c r="D503" s="18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7"/>
      <c r="B504" s="2"/>
      <c r="C504" s="3"/>
      <c r="D504" s="18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7"/>
      <c r="B505" s="2"/>
      <c r="C505" s="3"/>
      <c r="D505" s="18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7"/>
      <c r="B506" s="2"/>
      <c r="C506" s="3"/>
      <c r="D506" s="18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7"/>
      <c r="B507" s="2"/>
      <c r="C507" s="3"/>
      <c r="D507" s="18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7"/>
      <c r="B508" s="2"/>
      <c r="C508" s="3"/>
      <c r="D508" s="18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7"/>
      <c r="B509" s="2"/>
      <c r="C509" s="3"/>
      <c r="D509" s="18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7"/>
      <c r="B510" s="2"/>
      <c r="C510" s="3"/>
      <c r="D510" s="18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7"/>
      <c r="B511" s="2"/>
      <c r="C511" s="3"/>
      <c r="D511" s="18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7"/>
      <c r="B512" s="2"/>
      <c r="C512" s="3"/>
      <c r="D512" s="18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7"/>
      <c r="B513" s="2"/>
      <c r="C513" s="3"/>
      <c r="D513" s="18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7"/>
      <c r="B514" s="2"/>
      <c r="C514" s="3"/>
      <c r="D514" s="18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7"/>
      <c r="B515" s="2"/>
      <c r="C515" s="3"/>
      <c r="D515" s="18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7"/>
      <c r="B516" s="2"/>
      <c r="C516" s="3"/>
      <c r="D516" s="18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7"/>
      <c r="B517" s="2"/>
      <c r="C517" s="3"/>
      <c r="D517" s="18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7"/>
      <c r="B518" s="2"/>
      <c r="C518" s="3"/>
      <c r="D518" s="18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7"/>
      <c r="B519" s="2"/>
      <c r="C519" s="3"/>
      <c r="D519" s="18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7"/>
      <c r="B520" s="2"/>
      <c r="C520" s="3"/>
      <c r="D520" s="18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7"/>
      <c r="B521" s="2"/>
      <c r="C521" s="3"/>
      <c r="D521" s="18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7"/>
      <c r="B522" s="2"/>
      <c r="C522" s="3"/>
      <c r="D522" s="18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7"/>
      <c r="B523" s="2"/>
      <c r="C523" s="3"/>
      <c r="D523" s="18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7"/>
      <c r="B524" s="2"/>
      <c r="C524" s="3"/>
      <c r="D524" s="18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7"/>
      <c r="B525" s="2"/>
      <c r="C525" s="3"/>
      <c r="D525" s="18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7"/>
      <c r="B526" s="2"/>
      <c r="C526" s="3"/>
      <c r="D526" s="18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7"/>
      <c r="B527" s="2"/>
      <c r="C527" s="3"/>
      <c r="D527" s="18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7"/>
      <c r="B528" s="2"/>
      <c r="C528" s="3"/>
      <c r="D528" s="18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7"/>
      <c r="B529" s="2"/>
      <c r="C529" s="3"/>
      <c r="D529" s="18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7"/>
      <c r="B530" s="2"/>
      <c r="C530" s="3"/>
      <c r="D530" s="18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7"/>
      <c r="B531" s="2"/>
      <c r="C531" s="3"/>
      <c r="D531" s="18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7"/>
      <c r="B532" s="2"/>
      <c r="C532" s="3"/>
      <c r="D532" s="18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7"/>
      <c r="B533" s="2"/>
      <c r="C533" s="3"/>
      <c r="D533" s="18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7"/>
      <c r="B534" s="2"/>
      <c r="C534" s="3"/>
      <c r="D534" s="18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7"/>
      <c r="B535" s="2"/>
      <c r="C535" s="3"/>
      <c r="D535" s="18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7"/>
      <c r="B536" s="2"/>
      <c r="C536" s="3"/>
      <c r="D536" s="18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7"/>
      <c r="B537" s="2"/>
      <c r="C537" s="3"/>
      <c r="D537" s="18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7"/>
      <c r="B538" s="2"/>
      <c r="C538" s="3"/>
      <c r="D538" s="18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7"/>
      <c r="B539" s="2"/>
      <c r="C539" s="3"/>
      <c r="D539" s="18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7"/>
      <c r="B540" s="2"/>
      <c r="C540" s="3"/>
      <c r="D540" s="18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7"/>
      <c r="B541" s="2"/>
      <c r="C541" s="3"/>
      <c r="D541" s="18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7"/>
      <c r="B542" s="2"/>
      <c r="C542" s="3"/>
      <c r="D542" s="18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7"/>
      <c r="B543" s="2"/>
      <c r="C543" s="3"/>
      <c r="D543" s="18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7"/>
      <c r="B544" s="2"/>
      <c r="C544" s="3"/>
      <c r="D544" s="18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7"/>
      <c r="B545" s="2"/>
      <c r="C545" s="3"/>
      <c r="D545" s="18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7"/>
      <c r="B546" s="2"/>
      <c r="C546" s="3"/>
      <c r="D546" s="18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7"/>
      <c r="B547" s="2"/>
      <c r="C547" s="3"/>
      <c r="D547" s="18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7"/>
      <c r="B548" s="2"/>
      <c r="C548" s="3"/>
      <c r="D548" s="18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7"/>
      <c r="B549" s="2"/>
      <c r="C549" s="3"/>
      <c r="D549" s="18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7"/>
      <c r="B550" s="2"/>
      <c r="C550" s="3"/>
      <c r="D550" s="18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7"/>
      <c r="B551" s="2"/>
      <c r="C551" s="3"/>
      <c r="D551" s="18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7"/>
      <c r="B552" s="2"/>
      <c r="C552" s="3"/>
      <c r="D552" s="18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7"/>
      <c r="B553" s="2"/>
      <c r="C553" s="3"/>
      <c r="D553" s="18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7"/>
      <c r="B554" s="2"/>
      <c r="C554" s="3"/>
      <c r="D554" s="18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7"/>
      <c r="B555" s="2"/>
      <c r="C555" s="3"/>
      <c r="D555" s="18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7"/>
      <c r="B556" s="2"/>
      <c r="C556" s="3"/>
      <c r="D556" s="18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7"/>
      <c r="B557" s="2"/>
      <c r="C557" s="3"/>
      <c r="D557" s="18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7"/>
      <c r="B558" s="2"/>
      <c r="C558" s="3"/>
      <c r="D558" s="18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7"/>
      <c r="B559" s="2"/>
      <c r="C559" s="3"/>
      <c r="D559" s="18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7"/>
      <c r="B560" s="2"/>
      <c r="C560" s="3"/>
      <c r="D560" s="18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7"/>
      <c r="B561" s="2"/>
      <c r="C561" s="3"/>
      <c r="D561" s="18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7"/>
      <c r="B562" s="2"/>
      <c r="C562" s="3"/>
      <c r="D562" s="18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7"/>
      <c r="B563" s="2"/>
      <c r="C563" s="3"/>
      <c r="D563" s="18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7"/>
      <c r="B564" s="2"/>
      <c r="C564" s="3"/>
      <c r="D564" s="18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7"/>
      <c r="B565" s="2"/>
      <c r="C565" s="3"/>
      <c r="D565" s="18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7"/>
      <c r="B566" s="2"/>
      <c r="C566" s="3"/>
      <c r="D566" s="18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7"/>
      <c r="B567" s="2"/>
      <c r="C567" s="3"/>
      <c r="D567" s="18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7"/>
      <c r="B568" s="2"/>
      <c r="C568" s="3"/>
      <c r="D568" s="18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7"/>
      <c r="B569" s="2"/>
      <c r="C569" s="3"/>
      <c r="D569" s="18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7"/>
      <c r="B570" s="2"/>
      <c r="C570" s="3"/>
      <c r="D570" s="18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7"/>
      <c r="B571" s="2"/>
      <c r="C571" s="3"/>
      <c r="D571" s="18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7"/>
      <c r="B572" s="2"/>
      <c r="C572" s="3"/>
      <c r="D572" s="18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7"/>
      <c r="B573" s="2"/>
      <c r="C573" s="3"/>
      <c r="D573" s="18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7"/>
      <c r="B574" s="2"/>
      <c r="C574" s="3"/>
      <c r="D574" s="18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7"/>
      <c r="B575" s="2"/>
      <c r="C575" s="3"/>
      <c r="D575" s="18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7"/>
      <c r="B576" s="2"/>
      <c r="C576" s="3"/>
      <c r="D576" s="18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7"/>
      <c r="B577" s="2"/>
      <c r="C577" s="3"/>
      <c r="D577" s="18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7"/>
      <c r="B578" s="2"/>
      <c r="C578" s="3"/>
      <c r="D578" s="18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7"/>
      <c r="B579" s="2"/>
      <c r="C579" s="3"/>
      <c r="D579" s="18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7"/>
      <c r="B580" s="2"/>
      <c r="C580" s="3"/>
      <c r="D580" s="18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7"/>
      <c r="B581" s="2"/>
      <c r="C581" s="3"/>
      <c r="D581" s="18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7"/>
      <c r="B582" s="2"/>
      <c r="C582" s="3"/>
      <c r="D582" s="18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7"/>
      <c r="B583" s="2"/>
      <c r="C583" s="3"/>
      <c r="D583" s="18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7"/>
      <c r="B584" s="2"/>
      <c r="C584" s="3"/>
      <c r="D584" s="18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7"/>
      <c r="B585" s="2"/>
      <c r="C585" s="3"/>
      <c r="D585" s="18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7"/>
      <c r="B586" s="2"/>
      <c r="C586" s="3"/>
      <c r="D586" s="18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7"/>
      <c r="B587" s="2"/>
      <c r="C587" s="3"/>
      <c r="D587" s="18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7"/>
      <c r="B588" s="2"/>
      <c r="C588" s="3"/>
      <c r="D588" s="18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7"/>
      <c r="B589" s="2"/>
      <c r="C589" s="3"/>
      <c r="D589" s="18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7"/>
      <c r="B590" s="2"/>
      <c r="C590" s="3"/>
      <c r="D590" s="18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7"/>
      <c r="B591" s="2"/>
      <c r="C591" s="3"/>
      <c r="D591" s="18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7"/>
      <c r="B592" s="2"/>
      <c r="C592" s="3"/>
      <c r="D592" s="18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7"/>
      <c r="B593" s="2"/>
      <c r="C593" s="3"/>
      <c r="D593" s="18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7"/>
      <c r="B594" s="2"/>
      <c r="C594" s="3"/>
      <c r="D594" s="18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7"/>
      <c r="B595" s="2"/>
      <c r="C595" s="3"/>
      <c r="D595" s="18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7"/>
      <c r="B596" s="2"/>
      <c r="C596" s="3"/>
      <c r="D596" s="18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7"/>
      <c r="B597" s="2"/>
      <c r="C597" s="3"/>
      <c r="D597" s="18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7"/>
      <c r="B598" s="2"/>
      <c r="C598" s="3"/>
      <c r="D598" s="18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7"/>
      <c r="B599" s="2"/>
      <c r="C599" s="3"/>
      <c r="D599" s="18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7"/>
      <c r="B600" s="2"/>
      <c r="C600" s="3"/>
      <c r="D600" s="18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7"/>
      <c r="B601" s="2"/>
      <c r="C601" s="3"/>
      <c r="D601" s="18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7"/>
      <c r="B602" s="2"/>
      <c r="C602" s="3"/>
      <c r="D602" s="18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7"/>
      <c r="B603" s="2"/>
      <c r="C603" s="3"/>
      <c r="D603" s="18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7"/>
      <c r="B604" s="2"/>
      <c r="C604" s="3"/>
      <c r="D604" s="18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7"/>
      <c r="B605" s="2"/>
      <c r="C605" s="3"/>
      <c r="D605" s="18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7"/>
      <c r="B606" s="2"/>
      <c r="C606" s="3"/>
      <c r="D606" s="18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7"/>
      <c r="B607" s="2"/>
      <c r="C607" s="3"/>
      <c r="D607" s="18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7"/>
      <c r="B608" s="2"/>
      <c r="C608" s="3"/>
      <c r="D608" s="18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7"/>
      <c r="B609" s="2"/>
      <c r="C609" s="3"/>
      <c r="D609" s="18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7"/>
      <c r="B610" s="2"/>
      <c r="C610" s="3"/>
      <c r="D610" s="18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7"/>
      <c r="B611" s="2"/>
      <c r="C611" s="3"/>
      <c r="D611" s="18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7"/>
      <c r="B612" s="2"/>
      <c r="C612" s="3"/>
      <c r="D612" s="18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7"/>
      <c r="B613" s="2"/>
      <c r="C613" s="3"/>
      <c r="D613" s="18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7"/>
      <c r="B614" s="2"/>
      <c r="C614" s="3"/>
      <c r="D614" s="18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7"/>
      <c r="B615" s="2"/>
      <c r="C615" s="3"/>
      <c r="D615" s="18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7"/>
      <c r="B616" s="2"/>
      <c r="C616" s="3"/>
      <c r="D616" s="18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7"/>
      <c r="B617" s="2"/>
      <c r="C617" s="3"/>
      <c r="D617" s="18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7"/>
      <c r="B618" s="2"/>
      <c r="C618" s="3"/>
      <c r="D618" s="18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7"/>
      <c r="B619" s="2"/>
      <c r="C619" s="3"/>
      <c r="D619" s="18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7"/>
      <c r="B620" s="2"/>
      <c r="C620" s="3"/>
      <c r="D620" s="18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7"/>
      <c r="B621" s="2"/>
      <c r="C621" s="3"/>
      <c r="D621" s="18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7"/>
      <c r="B622" s="2"/>
      <c r="C622" s="3"/>
      <c r="D622" s="18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7"/>
      <c r="B623" s="2"/>
      <c r="C623" s="3"/>
      <c r="D623" s="18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7"/>
      <c r="B624" s="2"/>
      <c r="C624" s="3"/>
      <c r="D624" s="18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7"/>
      <c r="B625" s="2"/>
      <c r="C625" s="3"/>
      <c r="D625" s="18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7"/>
      <c r="B626" s="2"/>
      <c r="C626" s="3"/>
      <c r="D626" s="18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7"/>
      <c r="B627" s="2"/>
      <c r="C627" s="3"/>
      <c r="D627" s="18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7"/>
      <c r="B628" s="2"/>
      <c r="C628" s="3"/>
      <c r="D628" s="18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7"/>
      <c r="B629" s="2"/>
      <c r="C629" s="3"/>
      <c r="D629" s="18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7"/>
      <c r="B630" s="2"/>
      <c r="C630" s="3"/>
      <c r="D630" s="18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7"/>
      <c r="B631" s="2"/>
      <c r="C631" s="3"/>
      <c r="D631" s="18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7"/>
      <c r="B632" s="2"/>
      <c r="C632" s="3"/>
      <c r="D632" s="18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7"/>
      <c r="B633" s="2"/>
      <c r="C633" s="3"/>
      <c r="D633" s="18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7"/>
      <c r="B634" s="2"/>
      <c r="C634" s="3"/>
      <c r="D634" s="18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7"/>
      <c r="B635" s="2"/>
      <c r="C635" s="3"/>
      <c r="D635" s="18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7"/>
      <c r="B636" s="2"/>
      <c r="C636" s="3"/>
      <c r="D636" s="18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7"/>
      <c r="B637" s="2"/>
      <c r="C637" s="3"/>
      <c r="D637" s="18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7"/>
      <c r="B638" s="2"/>
      <c r="C638" s="3"/>
      <c r="D638" s="18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7"/>
      <c r="B639" s="2"/>
      <c r="C639" s="3"/>
      <c r="D639" s="18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7"/>
      <c r="B640" s="2"/>
      <c r="C640" s="3"/>
      <c r="D640" s="18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7"/>
      <c r="B641" s="2"/>
      <c r="C641" s="3"/>
      <c r="D641" s="18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7"/>
      <c r="B642" s="2"/>
      <c r="C642" s="3"/>
      <c r="D642" s="18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7"/>
      <c r="B643" s="2"/>
      <c r="C643" s="3"/>
      <c r="D643" s="18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7"/>
      <c r="B644" s="2"/>
      <c r="C644" s="3"/>
      <c r="D644" s="18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7"/>
      <c r="B645" s="2"/>
      <c r="C645" s="3"/>
      <c r="D645" s="18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7"/>
      <c r="B646" s="2"/>
      <c r="C646" s="3"/>
      <c r="D646" s="18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7"/>
      <c r="B647" s="2"/>
      <c r="C647" s="3"/>
      <c r="D647" s="18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7"/>
      <c r="B648" s="2"/>
      <c r="C648" s="3"/>
      <c r="D648" s="18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7"/>
      <c r="B649" s="2"/>
      <c r="C649" s="3"/>
      <c r="D649" s="18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7"/>
      <c r="B650" s="2"/>
      <c r="C650" s="3"/>
      <c r="D650" s="18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7"/>
      <c r="B651" s="2"/>
      <c r="C651" s="3"/>
      <c r="D651" s="18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7"/>
      <c r="B652" s="2"/>
      <c r="C652" s="3"/>
      <c r="D652" s="18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7"/>
      <c r="B653" s="2"/>
      <c r="C653" s="3"/>
      <c r="D653" s="18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7"/>
      <c r="B654" s="2"/>
      <c r="C654" s="3"/>
      <c r="D654" s="18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7"/>
      <c r="B655" s="2"/>
      <c r="C655" s="3"/>
      <c r="D655" s="18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7"/>
      <c r="B656" s="2"/>
      <c r="C656" s="3"/>
      <c r="D656" s="18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7"/>
      <c r="B657" s="2"/>
      <c r="C657" s="3"/>
      <c r="D657" s="18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7"/>
      <c r="B658" s="2"/>
      <c r="C658" s="3"/>
      <c r="D658" s="18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7"/>
      <c r="B659" s="2"/>
      <c r="C659" s="3"/>
      <c r="D659" s="18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7"/>
      <c r="B660" s="2"/>
      <c r="C660" s="3"/>
      <c r="D660" s="18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7"/>
      <c r="B661" s="2"/>
      <c r="C661" s="3"/>
      <c r="D661" s="18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7"/>
      <c r="B662" s="2"/>
      <c r="C662" s="3"/>
      <c r="D662" s="18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7"/>
      <c r="B663" s="2"/>
      <c r="C663" s="3"/>
      <c r="D663" s="18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7"/>
      <c r="B664" s="2"/>
      <c r="C664" s="3"/>
      <c r="D664" s="18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7"/>
      <c r="B665" s="2"/>
      <c r="C665" s="3"/>
      <c r="D665" s="18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7"/>
      <c r="B666" s="2"/>
      <c r="C666" s="3"/>
      <c r="D666" s="18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7"/>
      <c r="B667" s="2"/>
      <c r="C667" s="3"/>
      <c r="D667" s="18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7"/>
      <c r="B668" s="2"/>
      <c r="C668" s="3"/>
      <c r="D668" s="18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7"/>
      <c r="B669" s="2"/>
      <c r="C669" s="3"/>
      <c r="D669" s="18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7"/>
      <c r="B670" s="2"/>
      <c r="C670" s="3"/>
      <c r="D670" s="18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7"/>
      <c r="B671" s="2"/>
      <c r="C671" s="3"/>
      <c r="D671" s="18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7"/>
      <c r="B672" s="2"/>
      <c r="C672" s="3"/>
      <c r="D672" s="18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7"/>
      <c r="B673" s="2"/>
      <c r="C673" s="3"/>
      <c r="D673" s="18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7"/>
      <c r="B674" s="2"/>
      <c r="C674" s="3"/>
      <c r="D674" s="18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7"/>
      <c r="B675" s="2"/>
      <c r="C675" s="3"/>
      <c r="D675" s="18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7"/>
      <c r="B676" s="2"/>
      <c r="C676" s="3"/>
      <c r="D676" s="18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7"/>
      <c r="B677" s="2"/>
      <c r="C677" s="3"/>
      <c r="D677" s="18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7"/>
      <c r="B678" s="2"/>
      <c r="C678" s="3"/>
      <c r="D678" s="18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7"/>
      <c r="B679" s="2"/>
      <c r="C679" s="3"/>
      <c r="D679" s="18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7"/>
      <c r="B680" s="2"/>
      <c r="C680" s="3"/>
      <c r="D680" s="18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7"/>
      <c r="B681" s="2"/>
      <c r="C681" s="3"/>
      <c r="D681" s="18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7"/>
      <c r="B682" s="2"/>
      <c r="C682" s="3"/>
      <c r="D682" s="18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7"/>
      <c r="B683" s="2"/>
      <c r="C683" s="3"/>
      <c r="D683" s="18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7"/>
      <c r="B684" s="2"/>
      <c r="C684" s="3"/>
      <c r="D684" s="18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7"/>
      <c r="B685" s="2"/>
      <c r="C685" s="3"/>
      <c r="D685" s="18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7"/>
      <c r="B686" s="2"/>
      <c r="C686" s="3"/>
      <c r="D686" s="18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7"/>
      <c r="B687" s="2"/>
      <c r="C687" s="3"/>
      <c r="D687" s="18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7"/>
      <c r="B688" s="2"/>
      <c r="C688" s="3"/>
      <c r="D688" s="18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7"/>
      <c r="B689" s="2"/>
      <c r="C689" s="3"/>
      <c r="D689" s="18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7"/>
      <c r="B690" s="2"/>
      <c r="C690" s="3"/>
      <c r="D690" s="18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7"/>
      <c r="B691" s="2"/>
      <c r="C691" s="3"/>
      <c r="D691" s="18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7"/>
      <c r="B692" s="2"/>
      <c r="C692" s="3"/>
      <c r="D692" s="18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7"/>
      <c r="B693" s="2"/>
      <c r="C693" s="3"/>
      <c r="D693" s="18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7"/>
      <c r="B694" s="2"/>
      <c r="C694" s="3"/>
      <c r="D694" s="18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7"/>
      <c r="B695" s="2"/>
      <c r="C695" s="3"/>
      <c r="D695" s="18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7"/>
      <c r="B696" s="2"/>
      <c r="C696" s="3"/>
      <c r="D696" s="18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7"/>
      <c r="B697" s="2"/>
      <c r="C697" s="3"/>
      <c r="D697" s="18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7"/>
      <c r="B698" s="2"/>
      <c r="C698" s="3"/>
      <c r="D698" s="18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7"/>
      <c r="B699" s="2"/>
      <c r="C699" s="3"/>
      <c r="D699" s="18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7"/>
      <c r="B700" s="2"/>
      <c r="C700" s="3"/>
      <c r="D700" s="18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7"/>
      <c r="B701" s="2"/>
      <c r="C701" s="3"/>
      <c r="D701" s="18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7"/>
      <c r="B702" s="2"/>
      <c r="C702" s="3"/>
      <c r="D702" s="18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7"/>
      <c r="B703" s="2"/>
      <c r="C703" s="3"/>
      <c r="D703" s="18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7"/>
      <c r="B704" s="2"/>
      <c r="C704" s="3"/>
      <c r="D704" s="18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7"/>
      <c r="B705" s="2"/>
      <c r="C705" s="3"/>
      <c r="D705" s="18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7"/>
      <c r="B706" s="2"/>
      <c r="C706" s="3"/>
      <c r="D706" s="18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7"/>
      <c r="B707" s="2"/>
      <c r="C707" s="3"/>
      <c r="D707" s="18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7"/>
      <c r="B708" s="2"/>
      <c r="C708" s="3"/>
      <c r="D708" s="18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7"/>
      <c r="B709" s="2"/>
      <c r="C709" s="3"/>
      <c r="D709" s="18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7"/>
      <c r="B710" s="2"/>
      <c r="C710" s="3"/>
      <c r="D710" s="18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7"/>
      <c r="B711" s="2"/>
      <c r="C711" s="3"/>
      <c r="D711" s="18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7"/>
      <c r="B712" s="2"/>
      <c r="C712" s="3"/>
      <c r="D712" s="18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7"/>
      <c r="B713" s="2"/>
      <c r="C713" s="3"/>
      <c r="D713" s="18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7"/>
      <c r="B714" s="2"/>
      <c r="C714" s="3"/>
      <c r="D714" s="18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7"/>
      <c r="B715" s="2"/>
      <c r="C715" s="3"/>
      <c r="D715" s="18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7"/>
      <c r="B716" s="2"/>
      <c r="C716" s="3"/>
      <c r="D716" s="18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7"/>
      <c r="B717" s="2"/>
      <c r="C717" s="3"/>
      <c r="D717" s="18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7"/>
      <c r="B718" s="2"/>
      <c r="C718" s="3"/>
      <c r="D718" s="18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7"/>
      <c r="B719" s="2"/>
      <c r="C719" s="3"/>
      <c r="D719" s="18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7"/>
      <c r="B720" s="2"/>
      <c r="C720" s="3"/>
      <c r="D720" s="18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7"/>
      <c r="B721" s="2"/>
      <c r="C721" s="3"/>
      <c r="D721" s="18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7"/>
      <c r="B722" s="2"/>
      <c r="C722" s="3"/>
      <c r="D722" s="18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7"/>
      <c r="B723" s="2"/>
      <c r="C723" s="3"/>
      <c r="D723" s="18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7"/>
      <c r="B724" s="2"/>
      <c r="C724" s="3"/>
      <c r="D724" s="18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7"/>
      <c r="B725" s="2"/>
      <c r="C725" s="3"/>
      <c r="D725" s="18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7"/>
      <c r="B726" s="2"/>
      <c r="C726" s="3"/>
      <c r="D726" s="18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7"/>
      <c r="B727" s="2"/>
      <c r="C727" s="3"/>
      <c r="D727" s="18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7"/>
      <c r="B728" s="2"/>
      <c r="C728" s="3"/>
      <c r="D728" s="18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7"/>
      <c r="B729" s="2"/>
      <c r="C729" s="3"/>
      <c r="D729" s="18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7"/>
      <c r="B730" s="2"/>
      <c r="C730" s="3"/>
      <c r="D730" s="18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7"/>
      <c r="B731" s="2"/>
      <c r="C731" s="3"/>
      <c r="D731" s="18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7"/>
      <c r="B732" s="2"/>
      <c r="C732" s="3"/>
      <c r="D732" s="18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7"/>
      <c r="B733" s="2"/>
      <c r="C733" s="3"/>
      <c r="D733" s="18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7"/>
      <c r="B734" s="2"/>
      <c r="C734" s="3"/>
      <c r="D734" s="18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7"/>
      <c r="B735" s="2"/>
      <c r="C735" s="3"/>
      <c r="D735" s="18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7"/>
      <c r="B736" s="2"/>
      <c r="C736" s="3"/>
      <c r="D736" s="18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7"/>
      <c r="B737" s="2"/>
      <c r="C737" s="3"/>
      <c r="D737" s="18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7"/>
      <c r="B738" s="2"/>
      <c r="C738" s="3"/>
      <c r="D738" s="18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7"/>
      <c r="B739" s="2"/>
      <c r="C739" s="3"/>
      <c r="D739" s="18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7"/>
      <c r="B740" s="2"/>
      <c r="C740" s="3"/>
      <c r="D740" s="18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7"/>
      <c r="B741" s="2"/>
      <c r="C741" s="3"/>
      <c r="D741" s="18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7"/>
      <c r="B742" s="2"/>
      <c r="C742" s="3"/>
      <c r="D742" s="18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7"/>
      <c r="B743" s="2"/>
      <c r="C743" s="3"/>
      <c r="D743" s="18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7"/>
      <c r="B744" s="2"/>
      <c r="C744" s="3"/>
      <c r="D744" s="18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7"/>
      <c r="B745" s="2"/>
      <c r="C745" s="3"/>
      <c r="D745" s="18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7"/>
      <c r="B746" s="2"/>
      <c r="C746" s="3"/>
      <c r="D746" s="18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7"/>
      <c r="B747" s="2"/>
      <c r="C747" s="3"/>
      <c r="D747" s="18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7"/>
      <c r="B748" s="2"/>
      <c r="C748" s="3"/>
      <c r="D748" s="18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7"/>
      <c r="B749" s="2"/>
      <c r="C749" s="3"/>
      <c r="D749" s="18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7"/>
      <c r="B750" s="2"/>
      <c r="C750" s="3"/>
      <c r="D750" s="18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7"/>
      <c r="B751" s="2"/>
      <c r="C751" s="3"/>
      <c r="D751" s="18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7"/>
      <c r="B752" s="2"/>
      <c r="C752" s="3"/>
      <c r="D752" s="18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7"/>
      <c r="B753" s="2"/>
      <c r="C753" s="3"/>
      <c r="D753" s="18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7"/>
      <c r="B754" s="2"/>
      <c r="C754" s="3"/>
      <c r="D754" s="18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7"/>
      <c r="B755" s="2"/>
      <c r="C755" s="3"/>
      <c r="D755" s="18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7"/>
      <c r="B756" s="2"/>
      <c r="C756" s="3"/>
      <c r="D756" s="18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7"/>
      <c r="B757" s="2"/>
      <c r="C757" s="3"/>
      <c r="D757" s="18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7"/>
      <c r="B758" s="2"/>
      <c r="C758" s="3"/>
      <c r="D758" s="18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7"/>
      <c r="B759" s="2"/>
      <c r="C759" s="3"/>
      <c r="D759" s="18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7"/>
      <c r="B760" s="2"/>
      <c r="C760" s="3"/>
      <c r="D760" s="18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7"/>
      <c r="B761" s="2"/>
      <c r="C761" s="3"/>
      <c r="D761" s="18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7"/>
      <c r="B762" s="2"/>
      <c r="C762" s="3"/>
      <c r="D762" s="18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7"/>
      <c r="B763" s="2"/>
      <c r="C763" s="3"/>
      <c r="D763" s="18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7"/>
      <c r="B764" s="2"/>
      <c r="C764" s="3"/>
      <c r="D764" s="18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7"/>
      <c r="B765" s="2"/>
      <c r="C765" s="3"/>
      <c r="D765" s="18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7"/>
      <c r="B766" s="2"/>
      <c r="C766" s="3"/>
      <c r="D766" s="18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7"/>
      <c r="B767" s="2"/>
      <c r="C767" s="3"/>
      <c r="D767" s="18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7"/>
      <c r="B768" s="2"/>
      <c r="C768" s="3"/>
      <c r="D768" s="18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7"/>
      <c r="B769" s="2"/>
      <c r="C769" s="3"/>
      <c r="D769" s="18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7"/>
      <c r="B770" s="2"/>
      <c r="C770" s="3"/>
      <c r="D770" s="18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7"/>
      <c r="B771" s="2"/>
      <c r="C771" s="3"/>
      <c r="D771" s="18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7"/>
      <c r="B772" s="2"/>
      <c r="C772" s="3"/>
      <c r="D772" s="18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7"/>
      <c r="B773" s="2"/>
      <c r="C773" s="3"/>
      <c r="D773" s="18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7"/>
      <c r="B774" s="2"/>
      <c r="C774" s="3"/>
      <c r="D774" s="18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7"/>
      <c r="B775" s="2"/>
      <c r="C775" s="3"/>
      <c r="D775" s="18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7"/>
      <c r="B776" s="2"/>
      <c r="C776" s="3"/>
      <c r="D776" s="18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7"/>
      <c r="B777" s="2"/>
      <c r="C777" s="3"/>
      <c r="D777" s="18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7"/>
      <c r="B778" s="2"/>
      <c r="C778" s="3"/>
      <c r="D778" s="18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7"/>
      <c r="B779" s="2"/>
      <c r="C779" s="3"/>
      <c r="D779" s="18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7"/>
      <c r="B780" s="2"/>
      <c r="C780" s="3"/>
      <c r="D780" s="18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7"/>
      <c r="B781" s="2"/>
      <c r="C781" s="3"/>
      <c r="D781" s="18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7"/>
      <c r="B782" s="2"/>
      <c r="C782" s="3"/>
      <c r="D782" s="18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7"/>
      <c r="B783" s="2"/>
      <c r="C783" s="3"/>
      <c r="D783" s="18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7"/>
      <c r="B784" s="2"/>
      <c r="C784" s="3"/>
      <c r="D784" s="18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7"/>
      <c r="B785" s="2"/>
      <c r="C785" s="3"/>
      <c r="D785" s="18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7"/>
      <c r="B786" s="2"/>
      <c r="C786" s="3"/>
      <c r="D786" s="18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7"/>
      <c r="B787" s="2"/>
      <c r="C787" s="3"/>
      <c r="D787" s="18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7"/>
      <c r="B788" s="2"/>
      <c r="C788" s="3"/>
      <c r="D788" s="18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7"/>
      <c r="B789" s="2"/>
      <c r="C789" s="3"/>
      <c r="D789" s="18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7"/>
      <c r="B790" s="2"/>
      <c r="C790" s="3"/>
      <c r="D790" s="18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7"/>
      <c r="B791" s="2"/>
      <c r="C791" s="3"/>
      <c r="D791" s="18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7"/>
      <c r="B792" s="2"/>
      <c r="C792" s="3"/>
      <c r="D792" s="18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7"/>
      <c r="B793" s="2"/>
      <c r="C793" s="3"/>
      <c r="D793" s="18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7"/>
      <c r="B794" s="2"/>
      <c r="C794" s="3"/>
      <c r="D794" s="18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7"/>
      <c r="B795" s="2"/>
      <c r="C795" s="3"/>
      <c r="D795" s="18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7"/>
      <c r="B796" s="2"/>
      <c r="C796" s="3"/>
      <c r="D796" s="18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7"/>
      <c r="B797" s="2"/>
      <c r="C797" s="3"/>
      <c r="D797" s="18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7"/>
      <c r="B798" s="2"/>
      <c r="C798" s="3"/>
      <c r="D798" s="18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7"/>
      <c r="B799" s="2"/>
      <c r="C799" s="3"/>
      <c r="D799" s="18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7"/>
      <c r="B800" s="2"/>
      <c r="C800" s="3"/>
      <c r="D800" s="18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7"/>
      <c r="B801" s="2"/>
      <c r="C801" s="3"/>
      <c r="D801" s="18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7"/>
      <c r="B802" s="2"/>
      <c r="C802" s="3"/>
      <c r="D802" s="18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7"/>
      <c r="B803" s="2"/>
      <c r="C803" s="3"/>
      <c r="D803" s="18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7"/>
      <c r="B804" s="2"/>
      <c r="C804" s="3"/>
      <c r="D804" s="18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7"/>
      <c r="B805" s="2"/>
      <c r="C805" s="3"/>
      <c r="D805" s="18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7"/>
      <c r="B806" s="2"/>
      <c r="C806" s="3"/>
      <c r="D806" s="18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7"/>
      <c r="B807" s="2"/>
      <c r="C807" s="3"/>
      <c r="D807" s="18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7"/>
      <c r="B808" s="2"/>
      <c r="C808" s="3"/>
      <c r="D808" s="18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7"/>
      <c r="B809" s="2"/>
      <c r="C809" s="3"/>
      <c r="D809" s="18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7"/>
      <c r="B810" s="2"/>
      <c r="C810" s="3"/>
      <c r="D810" s="18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7"/>
      <c r="B811" s="2"/>
      <c r="C811" s="3"/>
      <c r="D811" s="18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7"/>
      <c r="B812" s="2"/>
      <c r="C812" s="3"/>
      <c r="D812" s="18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7"/>
      <c r="B813" s="2"/>
      <c r="C813" s="3"/>
      <c r="D813" s="18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7"/>
      <c r="B814" s="2"/>
      <c r="C814" s="3"/>
      <c r="D814" s="18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7"/>
      <c r="B815" s="2"/>
      <c r="C815" s="3"/>
      <c r="D815" s="18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7"/>
      <c r="B816" s="2"/>
      <c r="C816" s="3"/>
      <c r="D816" s="18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7"/>
      <c r="B817" s="2"/>
      <c r="C817" s="3"/>
      <c r="D817" s="18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7"/>
      <c r="B818" s="2"/>
      <c r="C818" s="3"/>
      <c r="D818" s="18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7"/>
      <c r="B819" s="2"/>
      <c r="C819" s="3"/>
      <c r="D819" s="18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7"/>
      <c r="B820" s="2"/>
      <c r="C820" s="3"/>
      <c r="D820" s="18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7"/>
      <c r="B821" s="2"/>
      <c r="C821" s="3"/>
      <c r="D821" s="18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7"/>
      <c r="B822" s="2"/>
      <c r="C822" s="3"/>
      <c r="D822" s="18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7"/>
      <c r="B823" s="2"/>
      <c r="C823" s="3"/>
      <c r="D823" s="18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7"/>
      <c r="B824" s="2"/>
      <c r="C824" s="3"/>
      <c r="D824" s="18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7"/>
      <c r="B825" s="2"/>
      <c r="C825" s="3"/>
      <c r="D825" s="18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7"/>
      <c r="B826" s="2"/>
      <c r="C826" s="3"/>
      <c r="D826" s="18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7"/>
      <c r="B827" s="2"/>
      <c r="C827" s="3"/>
      <c r="D827" s="18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7"/>
      <c r="B828" s="2"/>
      <c r="C828" s="3"/>
      <c r="D828" s="18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7"/>
      <c r="B829" s="2"/>
      <c r="C829" s="3"/>
      <c r="D829" s="18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7"/>
      <c r="B830" s="2"/>
      <c r="C830" s="3"/>
      <c r="D830" s="18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7"/>
      <c r="B831" s="2"/>
      <c r="C831" s="3"/>
      <c r="D831" s="18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7"/>
      <c r="B832" s="2"/>
      <c r="C832" s="3"/>
      <c r="D832" s="18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7"/>
      <c r="B833" s="2"/>
      <c r="C833" s="3"/>
      <c r="D833" s="18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7"/>
      <c r="B834" s="2"/>
      <c r="C834" s="3"/>
      <c r="D834" s="18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7"/>
      <c r="B835" s="2"/>
      <c r="C835" s="3"/>
      <c r="D835" s="18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7"/>
      <c r="B836" s="2"/>
      <c r="C836" s="3"/>
      <c r="D836" s="18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7"/>
      <c r="B837" s="2"/>
      <c r="C837" s="3"/>
      <c r="D837" s="18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7"/>
      <c r="B838" s="2"/>
      <c r="C838" s="3"/>
      <c r="D838" s="18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7"/>
      <c r="B839" s="2"/>
      <c r="C839" s="3"/>
      <c r="D839" s="18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7"/>
      <c r="B840" s="2"/>
      <c r="C840" s="3"/>
      <c r="D840" s="18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7"/>
      <c r="B841" s="2"/>
      <c r="C841" s="3"/>
      <c r="D841" s="18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7"/>
      <c r="B842" s="2"/>
      <c r="C842" s="3"/>
      <c r="D842" s="18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7"/>
      <c r="B843" s="2"/>
      <c r="C843" s="3"/>
      <c r="D843" s="18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7"/>
      <c r="B844" s="2"/>
      <c r="C844" s="3"/>
      <c r="D844" s="18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7"/>
      <c r="B845" s="2"/>
      <c r="C845" s="3"/>
      <c r="D845" s="18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7"/>
      <c r="B846" s="2"/>
      <c r="C846" s="3"/>
      <c r="D846" s="18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7"/>
      <c r="B847" s="2"/>
      <c r="C847" s="3"/>
      <c r="D847" s="18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7"/>
      <c r="B848" s="2"/>
      <c r="C848" s="3"/>
      <c r="D848" s="18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7"/>
      <c r="B849" s="2"/>
      <c r="C849" s="3"/>
      <c r="D849" s="18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7"/>
      <c r="B850" s="2"/>
      <c r="C850" s="3"/>
      <c r="D850" s="18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7"/>
      <c r="B851" s="2"/>
      <c r="C851" s="3"/>
      <c r="D851" s="18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7"/>
      <c r="B852" s="2"/>
      <c r="C852" s="3"/>
      <c r="D852" s="18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7"/>
      <c r="B853" s="2"/>
      <c r="C853" s="3"/>
      <c r="D853" s="18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7"/>
      <c r="B854" s="2"/>
      <c r="C854" s="3"/>
      <c r="D854" s="18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7"/>
      <c r="B855" s="2"/>
      <c r="C855" s="3"/>
      <c r="D855" s="18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7"/>
      <c r="B856" s="2"/>
      <c r="C856" s="3"/>
      <c r="D856" s="18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7"/>
      <c r="B857" s="2"/>
      <c r="C857" s="3"/>
      <c r="D857" s="18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7"/>
      <c r="B858" s="2"/>
      <c r="C858" s="3"/>
      <c r="D858" s="18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7"/>
      <c r="B859" s="2"/>
      <c r="C859" s="3"/>
      <c r="D859" s="18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7"/>
      <c r="B860" s="2"/>
      <c r="C860" s="3"/>
      <c r="D860" s="18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7"/>
      <c r="B861" s="2"/>
      <c r="C861" s="3"/>
      <c r="D861" s="18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7"/>
      <c r="B862" s="2"/>
      <c r="C862" s="3"/>
      <c r="D862" s="18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7"/>
      <c r="B863" s="2"/>
      <c r="C863" s="3"/>
      <c r="D863" s="18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7"/>
      <c r="B864" s="2"/>
      <c r="C864" s="3"/>
      <c r="D864" s="18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7"/>
      <c r="B865" s="2"/>
      <c r="C865" s="3"/>
      <c r="D865" s="18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7"/>
      <c r="B866" s="2"/>
      <c r="C866" s="3"/>
      <c r="D866" s="18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7"/>
      <c r="B867" s="2"/>
      <c r="C867" s="3"/>
      <c r="D867" s="18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7"/>
      <c r="B868" s="2"/>
      <c r="C868" s="3"/>
      <c r="D868" s="18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7"/>
      <c r="B869" s="2"/>
      <c r="C869" s="3"/>
      <c r="D869" s="18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7"/>
      <c r="B870" s="2"/>
      <c r="C870" s="3"/>
      <c r="D870" s="18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7"/>
      <c r="B871" s="2"/>
      <c r="C871" s="3"/>
      <c r="D871" s="18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7"/>
      <c r="B872" s="2"/>
      <c r="C872" s="3"/>
      <c r="D872" s="18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7"/>
      <c r="B873" s="2"/>
      <c r="C873" s="3"/>
      <c r="D873" s="18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7"/>
      <c r="B874" s="2"/>
      <c r="C874" s="3"/>
      <c r="D874" s="18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7"/>
      <c r="B875" s="2"/>
      <c r="C875" s="3"/>
      <c r="D875" s="18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7"/>
      <c r="B876" s="2"/>
      <c r="C876" s="3"/>
      <c r="D876" s="18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7"/>
      <c r="B877" s="2"/>
      <c r="C877" s="3"/>
      <c r="D877" s="18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7"/>
      <c r="B878" s="2"/>
      <c r="C878" s="3"/>
      <c r="D878" s="18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7"/>
      <c r="B879" s="2"/>
      <c r="C879" s="3"/>
      <c r="D879" s="18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7"/>
      <c r="B880" s="2"/>
      <c r="C880" s="3"/>
      <c r="D880" s="18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7"/>
      <c r="B881" s="2"/>
      <c r="C881" s="3"/>
      <c r="D881" s="18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7"/>
      <c r="B882" s="2"/>
      <c r="C882" s="3"/>
      <c r="D882" s="18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7"/>
      <c r="B883" s="2"/>
      <c r="C883" s="3"/>
      <c r="D883" s="18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7"/>
      <c r="B884" s="2"/>
      <c r="C884" s="3"/>
      <c r="D884" s="18"/>
      <c r="E884" s="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7"/>
      <c r="B885" s="2"/>
      <c r="C885" s="3"/>
      <c r="D885" s="18"/>
      <c r="E885" s="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7"/>
      <c r="B886" s="2"/>
      <c r="C886" s="3"/>
      <c r="D886" s="18"/>
      <c r="E886" s="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7"/>
      <c r="B887" s="2"/>
      <c r="C887" s="3"/>
      <c r="D887" s="18"/>
      <c r="E887" s="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7"/>
      <c r="B888" s="2"/>
      <c r="C888" s="3"/>
      <c r="D888" s="18"/>
      <c r="E888" s="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7"/>
      <c r="B889" s="2"/>
      <c r="C889" s="3"/>
      <c r="D889" s="18"/>
      <c r="E889" s="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7"/>
      <c r="B890" s="2"/>
      <c r="C890" s="3"/>
      <c r="D890" s="18"/>
      <c r="E890" s="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7"/>
      <c r="B891" s="2"/>
      <c r="C891" s="3"/>
      <c r="D891" s="18"/>
      <c r="E891" s="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7"/>
      <c r="B892" s="2"/>
      <c r="C892" s="3"/>
      <c r="D892" s="18"/>
      <c r="E892" s="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7"/>
      <c r="B893" s="2"/>
      <c r="C893" s="3"/>
      <c r="D893" s="18"/>
      <c r="E893" s="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7"/>
      <c r="B894" s="2"/>
      <c r="C894" s="3"/>
      <c r="D894" s="18"/>
      <c r="E894" s="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7"/>
      <c r="B895" s="2"/>
      <c r="C895" s="3"/>
      <c r="D895" s="18"/>
      <c r="E895" s="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7"/>
      <c r="B896" s="2"/>
      <c r="C896" s="3"/>
      <c r="D896" s="18"/>
      <c r="E896" s="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7"/>
      <c r="B897" s="2"/>
      <c r="C897" s="3"/>
      <c r="D897" s="18"/>
      <c r="E897" s="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7"/>
      <c r="B898" s="2"/>
      <c r="C898" s="3"/>
      <c r="D898" s="18"/>
      <c r="E898" s="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7"/>
      <c r="B899" s="2"/>
      <c r="C899" s="3"/>
      <c r="D899" s="18"/>
      <c r="E899" s="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7"/>
      <c r="B900" s="2"/>
      <c r="C900" s="3"/>
      <c r="D900" s="18"/>
      <c r="E900" s="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7"/>
      <c r="B901" s="2"/>
      <c r="C901" s="3"/>
      <c r="D901" s="18"/>
      <c r="E901" s="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7"/>
      <c r="B902" s="2"/>
      <c r="C902" s="3"/>
      <c r="D902" s="18"/>
      <c r="E902" s="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7"/>
      <c r="B903" s="2"/>
      <c r="C903" s="3"/>
      <c r="D903" s="18"/>
      <c r="E903" s="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7"/>
      <c r="B904" s="2"/>
      <c r="C904" s="3"/>
      <c r="D904" s="18"/>
      <c r="E904" s="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7"/>
      <c r="B905" s="2"/>
      <c r="C905" s="3"/>
      <c r="D905" s="18"/>
      <c r="E905" s="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7"/>
      <c r="B906" s="2"/>
      <c r="C906" s="3"/>
      <c r="D906" s="18"/>
      <c r="E906" s="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7"/>
      <c r="B907" s="2"/>
      <c r="C907" s="3"/>
      <c r="D907" s="18"/>
      <c r="E907" s="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7"/>
      <c r="B908" s="2"/>
      <c r="C908" s="3"/>
      <c r="D908" s="18"/>
      <c r="E908" s="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7"/>
      <c r="B909" s="2"/>
      <c r="C909" s="3"/>
      <c r="D909" s="18"/>
      <c r="E909" s="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7"/>
      <c r="B910" s="2"/>
      <c r="C910" s="3"/>
      <c r="D910" s="18"/>
      <c r="E910" s="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7"/>
      <c r="B911" s="2"/>
      <c r="C911" s="3"/>
      <c r="D911" s="18"/>
      <c r="E911" s="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7"/>
      <c r="B912" s="2"/>
      <c r="C912" s="3"/>
      <c r="D912" s="18"/>
      <c r="E912" s="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7"/>
      <c r="B913" s="2"/>
      <c r="C913" s="3"/>
      <c r="D913" s="18"/>
      <c r="E913" s="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7"/>
      <c r="B914" s="2"/>
      <c r="C914" s="3"/>
      <c r="D914" s="18"/>
      <c r="E914" s="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7"/>
      <c r="B915" s="2"/>
      <c r="C915" s="3"/>
      <c r="D915" s="18"/>
      <c r="E915" s="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7"/>
      <c r="B916" s="2"/>
      <c r="C916" s="3"/>
      <c r="D916" s="18"/>
      <c r="E916" s="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7"/>
      <c r="B917" s="2"/>
      <c r="C917" s="3"/>
      <c r="D917" s="18"/>
      <c r="E917" s="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7"/>
      <c r="B918" s="2"/>
      <c r="C918" s="3"/>
      <c r="D918" s="18"/>
      <c r="E918" s="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7"/>
      <c r="B919" s="2"/>
      <c r="C919" s="3"/>
      <c r="D919" s="18"/>
      <c r="E919" s="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7"/>
      <c r="B920" s="2"/>
      <c r="C920" s="3"/>
      <c r="D920" s="18"/>
      <c r="E920" s="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7"/>
      <c r="B921" s="2"/>
      <c r="C921" s="3"/>
      <c r="D921" s="18"/>
      <c r="E921" s="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7"/>
      <c r="B922" s="2"/>
      <c r="C922" s="3"/>
      <c r="D922" s="18"/>
      <c r="E922" s="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7"/>
      <c r="B923" s="2"/>
      <c r="C923" s="3"/>
      <c r="D923" s="18"/>
      <c r="E923" s="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7"/>
      <c r="B924" s="2"/>
      <c r="C924" s="3"/>
      <c r="D924" s="18"/>
      <c r="E924" s="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7"/>
      <c r="B925" s="2"/>
      <c r="C925" s="3"/>
      <c r="D925" s="18"/>
      <c r="E925" s="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7"/>
      <c r="B926" s="2"/>
      <c r="C926" s="3"/>
      <c r="D926" s="18"/>
      <c r="E926" s="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7"/>
      <c r="B927" s="2"/>
      <c r="C927" s="3"/>
      <c r="D927" s="18"/>
      <c r="E927" s="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7"/>
      <c r="B928" s="2"/>
      <c r="C928" s="3"/>
      <c r="D928" s="18"/>
      <c r="E928" s="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7"/>
      <c r="B929" s="2"/>
      <c r="C929" s="3"/>
      <c r="D929" s="18"/>
      <c r="E929" s="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7"/>
      <c r="B930" s="2"/>
      <c r="C930" s="3"/>
      <c r="D930" s="18"/>
      <c r="E930" s="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7"/>
      <c r="B931" s="2"/>
      <c r="C931" s="3"/>
      <c r="D931" s="18"/>
      <c r="E931" s="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7"/>
      <c r="B932" s="2"/>
      <c r="C932" s="3"/>
      <c r="D932" s="18"/>
      <c r="E932" s="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7"/>
      <c r="B933" s="2"/>
      <c r="C933" s="3"/>
      <c r="D933" s="18"/>
      <c r="E933" s="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7"/>
      <c r="B934" s="2"/>
      <c r="C934" s="3"/>
      <c r="D934" s="18"/>
      <c r="E934" s="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7"/>
      <c r="B935" s="2"/>
      <c r="C935" s="3"/>
      <c r="D935" s="18"/>
      <c r="E935" s="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7"/>
      <c r="B936" s="2"/>
      <c r="C936" s="3"/>
      <c r="D936" s="18"/>
      <c r="E936" s="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7"/>
      <c r="B937" s="2"/>
      <c r="C937" s="3"/>
      <c r="D937" s="18"/>
      <c r="E937" s="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7"/>
      <c r="B938" s="2"/>
      <c r="C938" s="3"/>
      <c r="D938" s="18"/>
      <c r="E938" s="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7"/>
      <c r="B939" s="2"/>
      <c r="C939" s="3"/>
      <c r="D939" s="18"/>
      <c r="E939" s="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7"/>
      <c r="B940" s="2"/>
      <c r="C940" s="3"/>
      <c r="D940" s="18"/>
      <c r="E940" s="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7"/>
      <c r="B941" s="2"/>
      <c r="C941" s="3"/>
      <c r="D941" s="18"/>
      <c r="E941" s="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7"/>
      <c r="B942" s="2"/>
      <c r="C942" s="3"/>
      <c r="D942" s="18"/>
      <c r="E942" s="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7"/>
      <c r="B943" s="2"/>
      <c r="C943" s="3"/>
      <c r="D943" s="18"/>
      <c r="E943" s="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7"/>
      <c r="B944" s="2"/>
      <c r="C944" s="3"/>
      <c r="D944" s="18"/>
      <c r="E944" s="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7"/>
      <c r="B945" s="2"/>
      <c r="C945" s="3"/>
      <c r="D945" s="18"/>
      <c r="E945" s="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7"/>
      <c r="B946" s="2"/>
      <c r="C946" s="3"/>
      <c r="D946" s="18"/>
      <c r="E946" s="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7"/>
      <c r="B947" s="2"/>
      <c r="C947" s="3"/>
      <c r="D947" s="18"/>
      <c r="E947" s="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7"/>
      <c r="B948" s="2"/>
      <c r="C948" s="3"/>
      <c r="D948" s="18"/>
      <c r="E948" s="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7"/>
      <c r="B949" s="2"/>
      <c r="C949" s="3"/>
      <c r="D949" s="18"/>
      <c r="E949" s="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7"/>
      <c r="B950" s="2"/>
      <c r="C950" s="3"/>
      <c r="D950" s="18"/>
      <c r="E950" s="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7"/>
      <c r="B951" s="2"/>
      <c r="C951" s="3"/>
      <c r="D951" s="18"/>
      <c r="E951" s="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7"/>
      <c r="B952" s="2"/>
      <c r="C952" s="3"/>
      <c r="D952" s="18"/>
      <c r="E952" s="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7"/>
      <c r="B953" s="2"/>
      <c r="C953" s="3"/>
      <c r="D953" s="18"/>
      <c r="E953" s="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7"/>
      <c r="B954" s="2"/>
      <c r="C954" s="3"/>
      <c r="D954" s="18"/>
      <c r="E954" s="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7"/>
      <c r="B955" s="2"/>
      <c r="C955" s="3"/>
      <c r="D955" s="18"/>
      <c r="E955" s="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7"/>
      <c r="B956" s="2"/>
      <c r="C956" s="3"/>
      <c r="D956" s="18"/>
      <c r="E956" s="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7"/>
      <c r="B957" s="2"/>
      <c r="C957" s="3"/>
      <c r="D957" s="18"/>
      <c r="E957" s="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7"/>
      <c r="B958" s="2"/>
      <c r="C958" s="3"/>
      <c r="D958" s="18"/>
      <c r="E958" s="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7"/>
      <c r="B959" s="2"/>
      <c r="C959" s="3"/>
      <c r="D959" s="18"/>
      <c r="E959" s="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7"/>
      <c r="B960" s="2"/>
      <c r="C960" s="3"/>
      <c r="D960" s="18"/>
      <c r="E960" s="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7"/>
      <c r="B961" s="2"/>
      <c r="C961" s="3"/>
      <c r="D961" s="18"/>
      <c r="E961" s="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7"/>
      <c r="B962" s="2"/>
      <c r="C962" s="3"/>
      <c r="D962" s="18"/>
      <c r="E962" s="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7"/>
      <c r="B963" s="2"/>
      <c r="C963" s="3"/>
      <c r="D963" s="18"/>
      <c r="E963" s="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7"/>
      <c r="B964" s="2"/>
      <c r="C964" s="3"/>
      <c r="D964" s="18"/>
      <c r="E964" s="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7"/>
      <c r="B965" s="2"/>
      <c r="C965" s="3"/>
      <c r="D965" s="18"/>
      <c r="E965" s="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7"/>
      <c r="B966" s="2"/>
      <c r="C966" s="3"/>
      <c r="D966" s="18"/>
      <c r="E966" s="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7"/>
      <c r="B967" s="2"/>
      <c r="C967" s="3"/>
      <c r="D967" s="18"/>
      <c r="E967" s="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7"/>
      <c r="B968" s="2"/>
      <c r="C968" s="3"/>
      <c r="D968" s="18"/>
      <c r="E968" s="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7"/>
      <c r="B969" s="2"/>
      <c r="C969" s="3"/>
      <c r="D969" s="18"/>
      <c r="E969" s="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7"/>
      <c r="B970" s="2"/>
      <c r="C970" s="3"/>
      <c r="D970" s="18"/>
      <c r="E970" s="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7"/>
      <c r="B971" s="2"/>
      <c r="C971" s="3"/>
      <c r="D971" s="18"/>
      <c r="E971" s="2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7"/>
      <c r="B972" s="2"/>
      <c r="C972" s="3"/>
      <c r="D972" s="18"/>
      <c r="E972" s="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7"/>
      <c r="B973" s="2"/>
      <c r="C973" s="3"/>
      <c r="D973" s="18"/>
      <c r="E973" s="2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7"/>
      <c r="B974" s="2"/>
      <c r="C974" s="3"/>
      <c r="D974" s="18"/>
      <c r="E974" s="2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7"/>
      <c r="B975" s="2"/>
      <c r="C975" s="3"/>
      <c r="D975" s="18"/>
      <c r="E975" s="2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7"/>
      <c r="B976" s="2"/>
      <c r="C976" s="3"/>
      <c r="D976" s="18"/>
      <c r="E976" s="2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7"/>
      <c r="B977" s="2"/>
      <c r="C977" s="3"/>
      <c r="D977" s="18"/>
      <c r="E977" s="2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7"/>
      <c r="B978" s="2"/>
      <c r="C978" s="3"/>
      <c r="D978" s="18"/>
      <c r="E978" s="2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7"/>
      <c r="B979" s="2"/>
      <c r="C979" s="3"/>
      <c r="D979" s="18"/>
      <c r="E979" s="2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7"/>
      <c r="B980" s="2"/>
      <c r="C980" s="3"/>
      <c r="D980" s="18"/>
      <c r="E980" s="2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7"/>
      <c r="B981" s="2"/>
      <c r="C981" s="3"/>
      <c r="D981" s="18"/>
      <c r="E981" s="2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7"/>
      <c r="B982" s="2"/>
      <c r="C982" s="3"/>
      <c r="D982" s="18"/>
      <c r="E982" s="2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7"/>
      <c r="B983" s="2"/>
      <c r="C983" s="3"/>
      <c r="D983" s="18"/>
      <c r="E983" s="2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7"/>
      <c r="B984" s="2"/>
      <c r="C984" s="3"/>
      <c r="D984" s="18"/>
      <c r="E984" s="2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7"/>
      <c r="B985" s="2"/>
      <c r="C985" s="3"/>
      <c r="D985" s="18"/>
      <c r="E985" s="2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7"/>
      <c r="B986" s="2"/>
      <c r="C986" s="3"/>
      <c r="D986" s="18"/>
      <c r="E986" s="2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7"/>
      <c r="B987" s="2"/>
      <c r="C987" s="3"/>
      <c r="D987" s="18"/>
      <c r="E987" s="2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7"/>
      <c r="B988" s="2"/>
      <c r="C988" s="3"/>
      <c r="D988" s="18"/>
      <c r="E988" s="2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7"/>
      <c r="B989" s="2"/>
      <c r="C989" s="3"/>
      <c r="D989" s="18"/>
      <c r="E989" s="2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7"/>
      <c r="B990" s="2"/>
      <c r="C990" s="3"/>
      <c r="D990" s="18"/>
      <c r="E990" s="2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7"/>
      <c r="B991" s="2"/>
      <c r="C991" s="3"/>
      <c r="D991" s="18"/>
      <c r="E991" s="2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7"/>
      <c r="B992" s="2"/>
      <c r="C992" s="3"/>
      <c r="D992" s="18"/>
      <c r="E992" s="2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7"/>
      <c r="B993" s="2"/>
      <c r="C993" s="3"/>
      <c r="D993" s="18"/>
      <c r="E993" s="2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7"/>
      <c r="B994" s="2"/>
      <c r="C994" s="3"/>
      <c r="D994" s="18"/>
      <c r="E994" s="2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7"/>
      <c r="B995" s="2"/>
      <c r="C995" s="3"/>
      <c r="D995" s="18"/>
      <c r="E995" s="2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7"/>
      <c r="B996" s="2"/>
      <c r="C996" s="3"/>
      <c r="D996" s="18"/>
      <c r="E996" s="2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7"/>
      <c r="B997" s="2"/>
      <c r="C997" s="3"/>
      <c r="D997" s="18"/>
      <c r="E997" s="2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7"/>
      <c r="B998" s="2"/>
      <c r="C998" s="3"/>
      <c r="D998" s="18"/>
      <c r="E998" s="2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7"/>
      <c r="B999" s="2"/>
      <c r="C999" s="3"/>
      <c r="D999" s="18"/>
      <c r="E999" s="2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7"/>
      <c r="B1000" s="2"/>
      <c r="C1000" s="3"/>
      <c r="D1000" s="18"/>
      <c r="E1000" s="2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0">
    <mergeCell ref="A12:A19"/>
    <mergeCell ref="A20:A23"/>
    <mergeCell ref="B20:B23"/>
    <mergeCell ref="A1:D1"/>
    <mergeCell ref="A2:C2"/>
    <mergeCell ref="A5:A8"/>
    <mergeCell ref="B5:B8"/>
    <mergeCell ref="A9:A11"/>
    <mergeCell ref="B9:B11"/>
    <mergeCell ref="B12:B1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5.86"/>
    <col customWidth="1" min="3" max="3" width="9.86"/>
    <col customWidth="1" min="4" max="4" width="44.43"/>
    <col customWidth="1" min="5" max="5" width="20.0"/>
    <col customWidth="1" min="6" max="396" width="8.86"/>
  </cols>
  <sheetData>
    <row r="1" ht="13.5" customHeight="1">
      <c r="A1" s="1" t="s">
        <v>155</v>
      </c>
      <c r="E1" s="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</row>
    <row r="2" ht="13.5" customHeight="1">
      <c r="A2" s="4" t="s">
        <v>1</v>
      </c>
      <c r="D2" s="20"/>
      <c r="E2" s="3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  <c r="JB2" s="14"/>
      <c r="JC2" s="14"/>
      <c r="JD2" s="14"/>
      <c r="JE2" s="14"/>
      <c r="JF2" s="14"/>
      <c r="JG2" s="14"/>
      <c r="JH2" s="14"/>
      <c r="JI2" s="14"/>
      <c r="JJ2" s="14"/>
      <c r="JK2" s="14"/>
      <c r="JL2" s="14"/>
      <c r="JM2" s="14"/>
      <c r="JN2" s="14"/>
      <c r="JO2" s="14"/>
      <c r="JP2" s="14"/>
      <c r="JQ2" s="14"/>
      <c r="JR2" s="14"/>
      <c r="JS2" s="14"/>
      <c r="JT2" s="14"/>
      <c r="JU2" s="14"/>
      <c r="JV2" s="14"/>
      <c r="JW2" s="14"/>
      <c r="JX2" s="14"/>
      <c r="JY2" s="14"/>
      <c r="JZ2" s="14"/>
      <c r="KA2" s="14"/>
      <c r="KB2" s="14"/>
      <c r="KC2" s="14"/>
      <c r="KD2" s="14"/>
      <c r="KE2" s="14"/>
      <c r="KF2" s="14"/>
      <c r="KG2" s="14"/>
      <c r="KH2" s="14"/>
      <c r="KI2" s="14"/>
      <c r="KJ2" s="14"/>
      <c r="KK2" s="14"/>
      <c r="KL2" s="14"/>
      <c r="KM2" s="14"/>
      <c r="KN2" s="14"/>
      <c r="KO2" s="14"/>
      <c r="KP2" s="14"/>
      <c r="KQ2" s="14"/>
      <c r="KR2" s="14"/>
      <c r="KS2" s="14"/>
      <c r="KT2" s="14"/>
      <c r="KU2" s="14"/>
      <c r="KV2" s="14"/>
      <c r="KW2" s="14"/>
      <c r="KX2" s="14"/>
      <c r="KY2" s="14"/>
      <c r="KZ2" s="14"/>
      <c r="LA2" s="14"/>
      <c r="LB2" s="14"/>
      <c r="LC2" s="14"/>
      <c r="LD2" s="14"/>
      <c r="LE2" s="14"/>
      <c r="LF2" s="14"/>
      <c r="LG2" s="14"/>
      <c r="LH2" s="14"/>
      <c r="LI2" s="14"/>
      <c r="LJ2" s="14"/>
      <c r="LK2" s="14"/>
      <c r="LL2" s="14"/>
      <c r="LM2" s="14"/>
      <c r="LN2" s="14"/>
      <c r="LO2" s="14"/>
      <c r="LP2" s="14"/>
      <c r="LQ2" s="14"/>
      <c r="LR2" s="14"/>
      <c r="LS2" s="14"/>
      <c r="LT2" s="14"/>
      <c r="LU2" s="14"/>
      <c r="LV2" s="14"/>
      <c r="LW2" s="14"/>
      <c r="LX2" s="14"/>
      <c r="LY2" s="14"/>
      <c r="LZ2" s="14"/>
      <c r="MA2" s="14"/>
      <c r="MB2" s="14"/>
      <c r="MC2" s="14"/>
      <c r="MD2" s="14"/>
      <c r="ME2" s="14"/>
      <c r="MF2" s="14"/>
      <c r="MG2" s="14"/>
      <c r="MH2" s="14"/>
      <c r="MI2" s="14"/>
      <c r="MJ2" s="14"/>
      <c r="MK2" s="14"/>
      <c r="ML2" s="14"/>
      <c r="MM2" s="14"/>
      <c r="MN2" s="14"/>
      <c r="MO2" s="14"/>
      <c r="MP2" s="14"/>
      <c r="MQ2" s="14"/>
      <c r="MR2" s="14"/>
      <c r="MS2" s="14"/>
      <c r="MT2" s="14"/>
      <c r="MU2" s="14"/>
      <c r="MV2" s="14"/>
      <c r="MW2" s="14"/>
      <c r="MX2" s="14"/>
      <c r="MY2" s="14"/>
      <c r="MZ2" s="14"/>
      <c r="NA2" s="14"/>
      <c r="NB2" s="14"/>
      <c r="NC2" s="14"/>
      <c r="ND2" s="14"/>
      <c r="NE2" s="14"/>
      <c r="NF2" s="14"/>
      <c r="NG2" s="14"/>
      <c r="NH2" s="14"/>
      <c r="NI2" s="14"/>
      <c r="NJ2" s="14"/>
      <c r="NK2" s="14"/>
      <c r="NL2" s="14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</row>
    <row r="3" ht="13.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156</v>
      </c>
      <c r="F3" s="17" t="s">
        <v>157</v>
      </c>
      <c r="G3" s="17" t="s">
        <v>158</v>
      </c>
      <c r="H3" s="17" t="s">
        <v>159</v>
      </c>
      <c r="I3" s="17" t="s">
        <v>160</v>
      </c>
      <c r="J3" s="17" t="s">
        <v>161</v>
      </c>
      <c r="K3" s="17" t="s">
        <v>162</v>
      </c>
      <c r="L3" s="17" t="s">
        <v>163</v>
      </c>
      <c r="M3" s="17" t="s">
        <v>164</v>
      </c>
      <c r="N3" s="17" t="s">
        <v>165</v>
      </c>
      <c r="O3" s="17" t="s">
        <v>166</v>
      </c>
      <c r="P3" s="17" t="s">
        <v>167</v>
      </c>
      <c r="Q3" s="17" t="s">
        <v>168</v>
      </c>
      <c r="R3" s="17" t="s">
        <v>169</v>
      </c>
      <c r="S3" s="17" t="s">
        <v>170</v>
      </c>
      <c r="T3" s="17" t="s">
        <v>171</v>
      </c>
      <c r="U3" s="17" t="s">
        <v>172</v>
      </c>
      <c r="V3" s="17" t="s">
        <v>173</v>
      </c>
      <c r="W3" s="17" t="s">
        <v>174</v>
      </c>
      <c r="X3" s="17" t="s">
        <v>175</v>
      </c>
      <c r="Y3" s="17" t="s">
        <v>176</v>
      </c>
      <c r="Z3" s="17" t="s">
        <v>177</v>
      </c>
      <c r="AA3" s="17" t="s">
        <v>178</v>
      </c>
      <c r="AB3" s="17" t="s">
        <v>179</v>
      </c>
      <c r="AC3" s="17" t="s">
        <v>180</v>
      </c>
      <c r="AD3" s="17" t="s">
        <v>181</v>
      </c>
      <c r="AE3" s="17" t="s">
        <v>182</v>
      </c>
      <c r="AF3" s="17" t="s">
        <v>183</v>
      </c>
      <c r="AG3" s="17" t="s">
        <v>184</v>
      </c>
      <c r="AH3" s="17" t="s">
        <v>185</v>
      </c>
      <c r="AI3" s="17" t="s">
        <v>186</v>
      </c>
      <c r="AJ3" s="17" t="s">
        <v>187</v>
      </c>
      <c r="AK3" s="17" t="s">
        <v>188</v>
      </c>
      <c r="AL3" s="17" t="s">
        <v>189</v>
      </c>
      <c r="AM3" s="17" t="s">
        <v>190</v>
      </c>
      <c r="AN3" s="17" t="s">
        <v>191</v>
      </c>
      <c r="AO3" s="17" t="s">
        <v>192</v>
      </c>
      <c r="AP3" s="17" t="s">
        <v>193</v>
      </c>
      <c r="AQ3" s="17" t="s">
        <v>194</v>
      </c>
      <c r="AR3" s="17" t="s">
        <v>195</v>
      </c>
      <c r="AS3" s="17" t="s">
        <v>196</v>
      </c>
      <c r="AT3" s="17" t="s">
        <v>197</v>
      </c>
      <c r="AU3" s="17" t="s">
        <v>198</v>
      </c>
      <c r="AV3" s="17" t="s">
        <v>199</v>
      </c>
      <c r="AW3" s="17" t="s">
        <v>200</v>
      </c>
      <c r="AX3" s="17" t="s">
        <v>201</v>
      </c>
      <c r="AY3" s="17" t="s">
        <v>202</v>
      </c>
      <c r="AZ3" s="17" t="s">
        <v>203</v>
      </c>
      <c r="BA3" s="17" t="s">
        <v>204</v>
      </c>
      <c r="BB3" s="17" t="s">
        <v>205</v>
      </c>
      <c r="BC3" s="17" t="s">
        <v>206</v>
      </c>
      <c r="BD3" s="17" t="s">
        <v>207</v>
      </c>
      <c r="BE3" s="17" t="s">
        <v>208</v>
      </c>
      <c r="BF3" s="17" t="s">
        <v>209</v>
      </c>
      <c r="BG3" s="17" t="s">
        <v>210</v>
      </c>
      <c r="BH3" s="17" t="s">
        <v>211</v>
      </c>
      <c r="BI3" s="17" t="s">
        <v>212</v>
      </c>
      <c r="BJ3" s="17" t="s">
        <v>213</v>
      </c>
      <c r="BK3" s="17" t="s">
        <v>214</v>
      </c>
      <c r="BL3" s="17" t="s">
        <v>215</v>
      </c>
      <c r="BM3" s="17" t="s">
        <v>216</v>
      </c>
      <c r="BN3" s="17" t="s">
        <v>217</v>
      </c>
      <c r="BO3" s="17" t="s">
        <v>218</v>
      </c>
      <c r="BP3" s="17" t="s">
        <v>219</v>
      </c>
      <c r="BQ3" s="17" t="s">
        <v>220</v>
      </c>
      <c r="BR3" s="17" t="s">
        <v>221</v>
      </c>
      <c r="BS3" s="17" t="s">
        <v>222</v>
      </c>
      <c r="BT3" s="17" t="s">
        <v>223</v>
      </c>
      <c r="BU3" s="17" t="s">
        <v>224</v>
      </c>
      <c r="BV3" s="17" t="s">
        <v>225</v>
      </c>
      <c r="BW3" s="17" t="s">
        <v>226</v>
      </c>
      <c r="BX3" s="17" t="s">
        <v>227</v>
      </c>
      <c r="BY3" s="17" t="s">
        <v>228</v>
      </c>
      <c r="BZ3" s="17" t="s">
        <v>229</v>
      </c>
      <c r="CA3" s="17" t="s">
        <v>230</v>
      </c>
      <c r="CB3" s="17" t="s">
        <v>231</v>
      </c>
      <c r="CC3" s="17" t="s">
        <v>232</v>
      </c>
      <c r="CD3" s="17" t="s">
        <v>233</v>
      </c>
      <c r="CE3" s="17" t="s">
        <v>234</v>
      </c>
      <c r="CF3" s="17" t="s">
        <v>235</v>
      </c>
      <c r="CG3" s="17" t="s">
        <v>236</v>
      </c>
      <c r="CH3" s="17" t="s">
        <v>237</v>
      </c>
      <c r="CI3" s="17" t="s">
        <v>238</v>
      </c>
      <c r="CJ3" s="17" t="s">
        <v>239</v>
      </c>
      <c r="CK3" s="17" t="s">
        <v>240</v>
      </c>
      <c r="CL3" s="17" t="s">
        <v>241</v>
      </c>
      <c r="CM3" s="17" t="s">
        <v>242</v>
      </c>
      <c r="CN3" s="17" t="s">
        <v>243</v>
      </c>
      <c r="CO3" s="17" t="s">
        <v>244</v>
      </c>
      <c r="CP3" s="17" t="s">
        <v>245</v>
      </c>
      <c r="CQ3" s="17" t="s">
        <v>246</v>
      </c>
      <c r="CR3" s="17" t="s">
        <v>247</v>
      </c>
      <c r="CS3" s="17" t="s">
        <v>248</v>
      </c>
      <c r="CT3" s="17" t="s">
        <v>249</v>
      </c>
      <c r="CU3" s="17" t="s">
        <v>250</v>
      </c>
      <c r="CV3" s="17" t="s">
        <v>251</v>
      </c>
      <c r="CW3" s="17" t="s">
        <v>252</v>
      </c>
      <c r="CX3" s="17" t="s">
        <v>253</v>
      </c>
      <c r="CY3" s="17" t="s">
        <v>254</v>
      </c>
      <c r="CZ3" s="17" t="s">
        <v>255</v>
      </c>
      <c r="DA3" s="17" t="s">
        <v>256</v>
      </c>
      <c r="DB3" s="17" t="s">
        <v>257</v>
      </c>
      <c r="DC3" s="17" t="s">
        <v>258</v>
      </c>
      <c r="DD3" s="17" t="s">
        <v>259</v>
      </c>
      <c r="DE3" s="17" t="s">
        <v>260</v>
      </c>
      <c r="DF3" s="17" t="s">
        <v>261</v>
      </c>
      <c r="DG3" s="17" t="s">
        <v>262</v>
      </c>
      <c r="DH3" s="17" t="s">
        <v>263</v>
      </c>
      <c r="DI3" s="17" t="s">
        <v>264</v>
      </c>
      <c r="DJ3" s="17" t="s">
        <v>265</v>
      </c>
      <c r="DK3" s="17" t="s">
        <v>266</v>
      </c>
      <c r="DL3" s="17" t="s">
        <v>267</v>
      </c>
      <c r="DM3" s="17" t="s">
        <v>268</v>
      </c>
      <c r="DN3" s="17" t="s">
        <v>269</v>
      </c>
      <c r="DO3" s="17" t="s">
        <v>270</v>
      </c>
      <c r="DP3" s="17" t="s">
        <v>271</v>
      </c>
      <c r="DQ3" s="17" t="s">
        <v>272</v>
      </c>
      <c r="DR3" s="17" t="s">
        <v>273</v>
      </c>
      <c r="DS3" s="17" t="s">
        <v>274</v>
      </c>
      <c r="DT3" s="17" t="s">
        <v>275</v>
      </c>
      <c r="DU3" s="17" t="s">
        <v>276</v>
      </c>
      <c r="DV3" s="17" t="s">
        <v>277</v>
      </c>
      <c r="DW3" s="17" t="s">
        <v>278</v>
      </c>
      <c r="DX3" s="17" t="s">
        <v>279</v>
      </c>
      <c r="DY3" s="17" t="s">
        <v>280</v>
      </c>
      <c r="DZ3" s="17" t="s">
        <v>281</v>
      </c>
      <c r="EA3" s="17" t="s">
        <v>282</v>
      </c>
      <c r="EB3" s="17" t="s">
        <v>283</v>
      </c>
      <c r="EC3" s="17" t="s">
        <v>284</v>
      </c>
      <c r="ED3" s="17" t="s">
        <v>285</v>
      </c>
      <c r="EE3" s="17" t="s">
        <v>286</v>
      </c>
      <c r="EF3" s="17" t="s">
        <v>287</v>
      </c>
      <c r="EG3" s="17" t="s">
        <v>288</v>
      </c>
      <c r="EH3" s="17" t="s">
        <v>289</v>
      </c>
      <c r="EI3" s="17" t="s">
        <v>290</v>
      </c>
      <c r="EJ3" s="17" t="s">
        <v>291</v>
      </c>
      <c r="EK3" s="17" t="s">
        <v>292</v>
      </c>
      <c r="EL3" s="17" t="s">
        <v>293</v>
      </c>
      <c r="EM3" s="17" t="s">
        <v>294</v>
      </c>
      <c r="EN3" s="17" t="s">
        <v>295</v>
      </c>
      <c r="EO3" s="17" t="s">
        <v>296</v>
      </c>
      <c r="EP3" s="17" t="s">
        <v>297</v>
      </c>
      <c r="EQ3" s="17" t="s">
        <v>298</v>
      </c>
      <c r="ER3" s="17" t="s">
        <v>299</v>
      </c>
      <c r="ES3" s="17" t="s">
        <v>300</v>
      </c>
      <c r="ET3" s="17" t="s">
        <v>301</v>
      </c>
      <c r="EU3" s="17" t="s">
        <v>302</v>
      </c>
      <c r="EV3" s="17" t="s">
        <v>303</v>
      </c>
      <c r="EW3" s="17" t="s">
        <v>304</v>
      </c>
      <c r="EX3" s="17" t="s">
        <v>305</v>
      </c>
      <c r="EY3" s="17" t="s">
        <v>306</v>
      </c>
      <c r="EZ3" s="17" t="s">
        <v>307</v>
      </c>
      <c r="FA3" s="17" t="s">
        <v>308</v>
      </c>
      <c r="FB3" s="17" t="s">
        <v>309</v>
      </c>
      <c r="FC3" s="17" t="s">
        <v>310</v>
      </c>
      <c r="FD3" s="17" t="s">
        <v>311</v>
      </c>
      <c r="FE3" s="17" t="s">
        <v>312</v>
      </c>
      <c r="FF3" s="17" t="s">
        <v>313</v>
      </c>
      <c r="FG3" s="17" t="s">
        <v>314</v>
      </c>
      <c r="FH3" s="17" t="s">
        <v>315</v>
      </c>
      <c r="FI3" s="17" t="s">
        <v>316</v>
      </c>
      <c r="FJ3" s="17" t="s">
        <v>317</v>
      </c>
      <c r="FK3" s="17" t="s">
        <v>318</v>
      </c>
      <c r="FL3" s="17" t="s">
        <v>319</v>
      </c>
      <c r="FM3" s="17" t="s">
        <v>320</v>
      </c>
      <c r="FN3" s="17" t="s">
        <v>321</v>
      </c>
      <c r="FO3" s="17" t="s">
        <v>322</v>
      </c>
      <c r="FP3" s="17" t="s">
        <v>323</v>
      </c>
      <c r="FQ3" s="17" t="s">
        <v>324</v>
      </c>
      <c r="FR3" s="17" t="s">
        <v>325</v>
      </c>
      <c r="FS3" s="17" t="s">
        <v>326</v>
      </c>
      <c r="FT3" s="17" t="s">
        <v>327</v>
      </c>
      <c r="FU3" s="17" t="s">
        <v>328</v>
      </c>
      <c r="FV3" s="17" t="s">
        <v>329</v>
      </c>
      <c r="FW3" s="17" t="s">
        <v>330</v>
      </c>
      <c r="FX3" s="17" t="s">
        <v>331</v>
      </c>
      <c r="FY3" s="17" t="s">
        <v>332</v>
      </c>
      <c r="FZ3" s="17" t="s">
        <v>333</v>
      </c>
      <c r="GA3" s="17" t="s">
        <v>334</v>
      </c>
      <c r="GB3" s="17" t="s">
        <v>335</v>
      </c>
      <c r="GC3" s="17" t="s">
        <v>336</v>
      </c>
      <c r="GD3" s="17" t="s">
        <v>337</v>
      </c>
      <c r="GE3" s="17" t="s">
        <v>338</v>
      </c>
      <c r="GF3" s="17" t="s">
        <v>339</v>
      </c>
      <c r="GG3" s="17" t="s">
        <v>340</v>
      </c>
      <c r="GH3" s="17" t="s">
        <v>341</v>
      </c>
      <c r="GI3" s="17" t="s">
        <v>342</v>
      </c>
      <c r="GJ3" s="17" t="s">
        <v>343</v>
      </c>
      <c r="GK3" s="17" t="s">
        <v>344</v>
      </c>
      <c r="GL3" s="17" t="s">
        <v>345</v>
      </c>
      <c r="GM3" s="17" t="s">
        <v>346</v>
      </c>
      <c r="GN3" s="17" t="s">
        <v>347</v>
      </c>
      <c r="GO3" s="17" t="s">
        <v>348</v>
      </c>
      <c r="GP3" s="17" t="s">
        <v>349</v>
      </c>
      <c r="GQ3" s="17" t="s">
        <v>350</v>
      </c>
      <c r="GR3" s="17" t="s">
        <v>351</v>
      </c>
      <c r="GS3" s="17" t="s">
        <v>352</v>
      </c>
      <c r="GT3" s="17" t="s">
        <v>353</v>
      </c>
      <c r="GU3" s="17" t="s">
        <v>354</v>
      </c>
      <c r="GV3" s="17" t="s">
        <v>355</v>
      </c>
      <c r="GW3" s="17" t="s">
        <v>356</v>
      </c>
      <c r="GX3" s="17" t="s">
        <v>357</v>
      </c>
      <c r="GY3" s="17" t="s">
        <v>358</v>
      </c>
      <c r="GZ3" s="17" t="s">
        <v>359</v>
      </c>
      <c r="HA3" s="17" t="s">
        <v>360</v>
      </c>
      <c r="HB3" s="17" t="s">
        <v>361</v>
      </c>
      <c r="HC3" s="17" t="s">
        <v>362</v>
      </c>
      <c r="HD3" s="17" t="s">
        <v>363</v>
      </c>
      <c r="HE3" s="17" t="s">
        <v>364</v>
      </c>
      <c r="HF3" s="17" t="s">
        <v>365</v>
      </c>
      <c r="HG3" s="17" t="s">
        <v>366</v>
      </c>
      <c r="HH3" s="17" t="s">
        <v>367</v>
      </c>
      <c r="HI3" s="17" t="s">
        <v>368</v>
      </c>
      <c r="HJ3" s="17" t="s">
        <v>369</v>
      </c>
      <c r="HK3" s="17" t="s">
        <v>370</v>
      </c>
      <c r="HL3" s="17" t="s">
        <v>371</v>
      </c>
      <c r="HM3" s="17" t="s">
        <v>372</v>
      </c>
      <c r="HN3" s="17" t="s">
        <v>373</v>
      </c>
      <c r="HO3" s="17" t="s">
        <v>374</v>
      </c>
      <c r="HP3" s="17" t="s">
        <v>375</v>
      </c>
      <c r="HQ3" s="17" t="s">
        <v>376</v>
      </c>
      <c r="HR3" s="17" t="s">
        <v>377</v>
      </c>
      <c r="HS3" s="17" t="s">
        <v>378</v>
      </c>
      <c r="HT3" s="17" t="s">
        <v>379</v>
      </c>
      <c r="HU3" s="17" t="s">
        <v>380</v>
      </c>
      <c r="HV3" s="17" t="s">
        <v>381</v>
      </c>
      <c r="HW3" s="17" t="s">
        <v>382</v>
      </c>
      <c r="HX3" s="17" t="s">
        <v>383</v>
      </c>
      <c r="HY3" s="17" t="s">
        <v>384</v>
      </c>
      <c r="HZ3" s="17" t="s">
        <v>385</v>
      </c>
      <c r="IA3" s="17" t="s">
        <v>386</v>
      </c>
      <c r="IB3" s="17" t="s">
        <v>387</v>
      </c>
      <c r="IC3" s="17" t="s">
        <v>388</v>
      </c>
      <c r="ID3" s="17" t="s">
        <v>389</v>
      </c>
      <c r="IE3" s="17" t="s">
        <v>390</v>
      </c>
      <c r="IF3" s="17" t="s">
        <v>391</v>
      </c>
      <c r="IG3" s="17" t="s">
        <v>392</v>
      </c>
      <c r="IH3" s="17" t="s">
        <v>393</v>
      </c>
      <c r="II3" s="17" t="s">
        <v>394</v>
      </c>
      <c r="IJ3" s="17" t="s">
        <v>395</v>
      </c>
      <c r="IK3" s="17" t="s">
        <v>396</v>
      </c>
      <c r="IL3" s="17" t="s">
        <v>397</v>
      </c>
      <c r="IM3" s="17" t="s">
        <v>398</v>
      </c>
      <c r="IN3" s="17" t="s">
        <v>399</v>
      </c>
      <c r="IO3" s="17" t="s">
        <v>400</v>
      </c>
      <c r="IP3" s="17" t="s">
        <v>401</v>
      </c>
      <c r="IQ3" s="17" t="s">
        <v>402</v>
      </c>
      <c r="IR3" s="17" t="s">
        <v>403</v>
      </c>
      <c r="IS3" s="17" t="s">
        <v>404</v>
      </c>
      <c r="IT3" s="17" t="s">
        <v>405</v>
      </c>
      <c r="IU3" s="17" t="s">
        <v>406</v>
      </c>
      <c r="IV3" s="17" t="s">
        <v>407</v>
      </c>
      <c r="IW3" s="17" t="s">
        <v>408</v>
      </c>
      <c r="IX3" s="17" t="s">
        <v>409</v>
      </c>
      <c r="IY3" s="17" t="s">
        <v>410</v>
      </c>
      <c r="IZ3" s="17" t="s">
        <v>411</v>
      </c>
      <c r="JA3" s="17" t="s">
        <v>412</v>
      </c>
      <c r="JB3" s="17" t="s">
        <v>413</v>
      </c>
      <c r="JC3" s="17" t="s">
        <v>414</v>
      </c>
      <c r="JD3" s="17" t="s">
        <v>415</v>
      </c>
      <c r="JE3" s="17" t="s">
        <v>416</v>
      </c>
      <c r="JF3" s="17" t="s">
        <v>417</v>
      </c>
      <c r="JG3" s="17" t="s">
        <v>418</v>
      </c>
      <c r="JH3" s="17" t="s">
        <v>419</v>
      </c>
      <c r="JI3" s="17" t="s">
        <v>420</v>
      </c>
      <c r="JJ3" s="17" t="s">
        <v>421</v>
      </c>
      <c r="JK3" s="17" t="s">
        <v>422</v>
      </c>
      <c r="JL3" s="17" t="s">
        <v>423</v>
      </c>
      <c r="JM3" s="17" t="s">
        <v>424</v>
      </c>
      <c r="JN3" s="17" t="s">
        <v>425</v>
      </c>
      <c r="JO3" s="17" t="s">
        <v>426</v>
      </c>
      <c r="JP3" s="17" t="s">
        <v>427</v>
      </c>
      <c r="JQ3" s="17" t="s">
        <v>428</v>
      </c>
      <c r="JR3" s="17" t="s">
        <v>429</v>
      </c>
      <c r="JS3" s="17" t="s">
        <v>430</v>
      </c>
      <c r="JT3" s="17" t="s">
        <v>431</v>
      </c>
      <c r="JU3" s="17" t="s">
        <v>432</v>
      </c>
      <c r="JV3" s="17" t="s">
        <v>433</v>
      </c>
      <c r="JW3" s="17" t="s">
        <v>434</v>
      </c>
      <c r="JX3" s="17" t="s">
        <v>435</v>
      </c>
      <c r="JY3" s="17" t="s">
        <v>436</v>
      </c>
      <c r="JZ3" s="17" t="s">
        <v>437</v>
      </c>
      <c r="KA3" s="17" t="s">
        <v>438</v>
      </c>
      <c r="KB3" s="17" t="s">
        <v>439</v>
      </c>
      <c r="KC3" s="17" t="s">
        <v>440</v>
      </c>
      <c r="KD3" s="17" t="s">
        <v>441</v>
      </c>
      <c r="KE3" s="17" t="s">
        <v>442</v>
      </c>
      <c r="KF3" s="17" t="s">
        <v>443</v>
      </c>
      <c r="KG3" s="17" t="s">
        <v>444</v>
      </c>
      <c r="KH3" s="17" t="s">
        <v>445</v>
      </c>
      <c r="KI3" s="17" t="s">
        <v>446</v>
      </c>
      <c r="KJ3" s="17" t="s">
        <v>447</v>
      </c>
      <c r="KK3" s="17" t="s">
        <v>448</v>
      </c>
      <c r="KL3" s="17" t="s">
        <v>449</v>
      </c>
      <c r="KM3" s="17" t="s">
        <v>450</v>
      </c>
      <c r="KN3" s="17" t="s">
        <v>451</v>
      </c>
      <c r="KO3" s="17" t="s">
        <v>452</v>
      </c>
      <c r="KP3" s="17" t="s">
        <v>453</v>
      </c>
      <c r="KQ3" s="17" t="s">
        <v>454</v>
      </c>
      <c r="KR3" s="17" t="s">
        <v>455</v>
      </c>
      <c r="KS3" s="17" t="s">
        <v>456</v>
      </c>
      <c r="KT3" s="17" t="s">
        <v>457</v>
      </c>
      <c r="KU3" s="17" t="s">
        <v>458</v>
      </c>
      <c r="KV3" s="17" t="s">
        <v>459</v>
      </c>
      <c r="KW3" s="17" t="s">
        <v>460</v>
      </c>
      <c r="KX3" s="17" t="s">
        <v>461</v>
      </c>
      <c r="KY3" s="17" t="s">
        <v>462</v>
      </c>
      <c r="KZ3" s="17" t="s">
        <v>463</v>
      </c>
      <c r="LA3" s="17" t="s">
        <v>464</v>
      </c>
      <c r="LB3" s="17" t="s">
        <v>465</v>
      </c>
      <c r="LC3" s="17" t="s">
        <v>466</v>
      </c>
      <c r="LD3" s="17" t="s">
        <v>467</v>
      </c>
      <c r="LE3" s="17" t="s">
        <v>468</v>
      </c>
      <c r="LF3" s="17" t="s">
        <v>469</v>
      </c>
      <c r="LG3" s="17" t="s">
        <v>470</v>
      </c>
      <c r="LH3" s="17" t="s">
        <v>471</v>
      </c>
      <c r="LI3" s="17" t="s">
        <v>472</v>
      </c>
      <c r="LJ3" s="17" t="s">
        <v>473</v>
      </c>
      <c r="LK3" s="17" t="s">
        <v>474</v>
      </c>
      <c r="LL3" s="17" t="s">
        <v>475</v>
      </c>
      <c r="LM3" s="17" t="s">
        <v>476</v>
      </c>
      <c r="LN3" s="17" t="s">
        <v>477</v>
      </c>
      <c r="LO3" s="17" t="s">
        <v>478</v>
      </c>
      <c r="LP3" s="17" t="s">
        <v>479</v>
      </c>
      <c r="LQ3" s="17" t="s">
        <v>480</v>
      </c>
      <c r="LR3" s="17" t="s">
        <v>481</v>
      </c>
      <c r="LS3" s="17" t="s">
        <v>482</v>
      </c>
      <c r="LT3" s="17" t="s">
        <v>483</v>
      </c>
      <c r="LU3" s="17" t="s">
        <v>484</v>
      </c>
      <c r="LV3" s="17" t="s">
        <v>485</v>
      </c>
      <c r="LW3" s="17" t="s">
        <v>486</v>
      </c>
      <c r="LX3" s="17" t="s">
        <v>487</v>
      </c>
      <c r="LY3" s="17" t="s">
        <v>488</v>
      </c>
      <c r="LZ3" s="17" t="s">
        <v>489</v>
      </c>
      <c r="MA3" s="17" t="s">
        <v>490</v>
      </c>
      <c r="MB3" s="17" t="s">
        <v>491</v>
      </c>
      <c r="MC3" s="17" t="s">
        <v>492</v>
      </c>
      <c r="MD3" s="17" t="s">
        <v>493</v>
      </c>
      <c r="ME3" s="17" t="s">
        <v>494</v>
      </c>
      <c r="MF3" s="17" t="s">
        <v>495</v>
      </c>
      <c r="MG3" s="17" t="s">
        <v>496</v>
      </c>
      <c r="MH3" s="17" t="s">
        <v>497</v>
      </c>
      <c r="MI3" s="17" t="s">
        <v>498</v>
      </c>
      <c r="MJ3" s="17" t="s">
        <v>499</v>
      </c>
      <c r="MK3" s="17" t="s">
        <v>500</v>
      </c>
      <c r="ML3" s="17" t="s">
        <v>501</v>
      </c>
      <c r="MM3" s="17" t="s">
        <v>502</v>
      </c>
      <c r="MN3" s="17" t="s">
        <v>503</v>
      </c>
      <c r="MO3" s="17" t="s">
        <v>504</v>
      </c>
      <c r="MP3" s="17" t="s">
        <v>505</v>
      </c>
      <c r="MQ3" s="17" t="s">
        <v>506</v>
      </c>
      <c r="MR3" s="17" t="s">
        <v>507</v>
      </c>
      <c r="MS3" s="17" t="s">
        <v>508</v>
      </c>
      <c r="MT3" s="17" t="s">
        <v>509</v>
      </c>
      <c r="MU3" s="17" t="s">
        <v>510</v>
      </c>
      <c r="MV3" s="17" t="s">
        <v>511</v>
      </c>
      <c r="MW3" s="17" t="s">
        <v>512</v>
      </c>
      <c r="MX3" s="17" t="s">
        <v>513</v>
      </c>
      <c r="MY3" s="17" t="s">
        <v>514</v>
      </c>
      <c r="MZ3" s="17" t="s">
        <v>515</v>
      </c>
      <c r="NA3" s="17" t="s">
        <v>516</v>
      </c>
      <c r="NB3" s="17" t="s">
        <v>517</v>
      </c>
      <c r="NC3" s="17" t="s">
        <v>518</v>
      </c>
      <c r="ND3" s="17" t="s">
        <v>519</v>
      </c>
      <c r="NE3" s="17" t="s">
        <v>520</v>
      </c>
      <c r="NF3" s="17" t="s">
        <v>521</v>
      </c>
      <c r="NG3" s="17" t="s">
        <v>522</v>
      </c>
      <c r="NH3" s="17" t="s">
        <v>523</v>
      </c>
      <c r="NI3" s="17" t="s">
        <v>524</v>
      </c>
      <c r="NJ3" s="17" t="s">
        <v>525</v>
      </c>
      <c r="NK3" s="17" t="s">
        <v>526</v>
      </c>
      <c r="NL3" s="17" t="s">
        <v>527</v>
      </c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</row>
    <row r="4" ht="13.5" customHeight="1">
      <c r="A4" s="7" t="s">
        <v>528</v>
      </c>
      <c r="B4" s="13" t="s">
        <v>529</v>
      </c>
      <c r="C4" s="7" t="s">
        <v>530</v>
      </c>
      <c r="D4" s="13" t="s">
        <v>531</v>
      </c>
      <c r="E4" s="2" t="str">
        <f t="shared" ref="E4:E5" si="1">AVERAGE(F4:NL4)</f>
        <v>#DIV/0!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</row>
    <row r="5" ht="13.5" customHeight="1">
      <c r="C5" s="7" t="s">
        <v>532</v>
      </c>
      <c r="D5" s="13" t="s">
        <v>533</v>
      </c>
      <c r="E5" s="2" t="str">
        <f t="shared" si="1"/>
        <v>#DIV/0!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</row>
    <row r="6" ht="13.5" customHeight="1">
      <c r="A6" s="7" t="s">
        <v>534</v>
      </c>
      <c r="B6" s="13" t="s">
        <v>535</v>
      </c>
      <c r="C6" s="7" t="s">
        <v>536</v>
      </c>
      <c r="D6" s="13" t="s">
        <v>537</v>
      </c>
      <c r="E6" s="2">
        <f t="array" ref="E6">AVERAGE(IF(F6:NL6 &lt;= 3, 0, IF(F6:NL6 &gt;= 5, 1, (F6:NL6 - 3) / 2)))</f>
        <v>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</row>
    <row r="7" ht="13.5" customHeight="1">
      <c r="A7" s="7" t="s">
        <v>538</v>
      </c>
      <c r="B7" s="8" t="s">
        <v>539</v>
      </c>
      <c r="C7" s="6" t="s">
        <v>540</v>
      </c>
      <c r="D7" s="8" t="s">
        <v>541</v>
      </c>
      <c r="E7" s="2" t="str">
        <f>AVERAGE(F7:NL7)</f>
        <v>#DIV/0!</v>
      </c>
      <c r="F7" s="17"/>
      <c r="G7" s="17"/>
      <c r="H7" s="19"/>
      <c r="I7" s="19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17"/>
      <c r="JQ7" s="17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17"/>
      <c r="KR7" s="17"/>
      <c r="KS7" s="17"/>
      <c r="KT7" s="17"/>
      <c r="KU7" s="17"/>
      <c r="KV7" s="17"/>
      <c r="KW7" s="17"/>
      <c r="KX7" s="17"/>
      <c r="KY7" s="17"/>
      <c r="KZ7" s="17"/>
      <c r="LA7" s="17"/>
      <c r="LB7" s="17"/>
      <c r="LC7" s="17"/>
      <c r="LD7" s="17"/>
      <c r="LE7" s="17"/>
      <c r="LF7" s="17"/>
      <c r="LG7" s="17"/>
      <c r="LH7" s="17"/>
      <c r="LI7" s="17"/>
      <c r="LJ7" s="17"/>
      <c r="LK7" s="17"/>
      <c r="LL7" s="17"/>
      <c r="LM7" s="17"/>
      <c r="LN7" s="17"/>
      <c r="LO7" s="17"/>
      <c r="LP7" s="17"/>
      <c r="LQ7" s="17"/>
      <c r="LR7" s="17"/>
      <c r="LS7" s="17"/>
      <c r="LT7" s="17"/>
      <c r="LU7" s="17"/>
      <c r="LV7" s="17"/>
      <c r="LW7" s="17"/>
      <c r="LX7" s="17"/>
      <c r="LY7" s="17"/>
      <c r="LZ7" s="17"/>
      <c r="MA7" s="17"/>
      <c r="MB7" s="17"/>
      <c r="MC7" s="17"/>
      <c r="MD7" s="17"/>
      <c r="ME7" s="17"/>
      <c r="MF7" s="17"/>
      <c r="MG7" s="17"/>
      <c r="MH7" s="17"/>
      <c r="MI7" s="17"/>
      <c r="MJ7" s="17"/>
      <c r="MK7" s="17"/>
      <c r="ML7" s="17"/>
      <c r="MM7" s="17"/>
      <c r="MN7" s="17"/>
      <c r="MO7" s="17"/>
      <c r="MP7" s="17"/>
      <c r="MQ7" s="17"/>
      <c r="MR7" s="17"/>
      <c r="MS7" s="17"/>
      <c r="MT7" s="17"/>
      <c r="MU7" s="17"/>
      <c r="MV7" s="17"/>
      <c r="MW7" s="17"/>
      <c r="MX7" s="17"/>
      <c r="MY7" s="17"/>
      <c r="MZ7" s="17"/>
      <c r="NA7" s="17"/>
      <c r="NB7" s="17"/>
      <c r="NC7" s="17"/>
      <c r="ND7" s="17"/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9"/>
      <c r="NR7" s="21"/>
      <c r="NS7" s="21"/>
      <c r="NT7" s="21"/>
      <c r="NU7" s="21"/>
      <c r="NV7" s="21"/>
      <c r="NW7" s="21"/>
      <c r="NX7" s="21"/>
      <c r="NY7" s="21"/>
      <c r="NZ7" s="21"/>
      <c r="OA7" s="21"/>
      <c r="OB7" s="21"/>
      <c r="OC7" s="21"/>
      <c r="OD7" s="21"/>
      <c r="OE7" s="21"/>
      <c r="OF7" s="21"/>
    </row>
    <row r="8" ht="13.5" customHeight="1">
      <c r="A8" s="7" t="s">
        <v>542</v>
      </c>
      <c r="B8" s="13" t="s">
        <v>543</v>
      </c>
      <c r="C8" s="7" t="s">
        <v>544</v>
      </c>
      <c r="D8" s="13" t="s">
        <v>545</v>
      </c>
      <c r="E8" s="2">
        <f t="array" ref="E8">AVERAGE(IF(F8:NL8 &lt;= 2, 0, IF(F8:NL8 &gt;= 4, 1, (F8:NL8 - 2) / 2)))</f>
        <v>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</row>
    <row r="9" ht="13.5" customHeight="1">
      <c r="A9" s="7" t="s">
        <v>546</v>
      </c>
      <c r="B9" s="13" t="s">
        <v>547</v>
      </c>
      <c r="C9" s="6" t="s">
        <v>548</v>
      </c>
      <c r="D9" s="13" t="s">
        <v>547</v>
      </c>
      <c r="E9" s="2">
        <f t="array" ref="E9">AVERAGE(IF(F9:NL9 &lt;= 2, 0, IF(F9:NL9 &gt;= 4, 1, (F9:NL9 - 2) / 2)))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</row>
    <row r="10" ht="13.5" customHeight="1">
      <c r="A10" s="7" t="s">
        <v>549</v>
      </c>
      <c r="B10" s="13" t="s">
        <v>550</v>
      </c>
      <c r="C10" s="7" t="s">
        <v>551</v>
      </c>
      <c r="D10" s="13" t="s">
        <v>552</v>
      </c>
      <c r="E10" s="2">
        <f t="array" ref="E10">AVERAGE(IF(F10:NL10 &lt;= 3, 0, IF(F10:NL10 &gt;= 5, 1, (F10:NL10 - 3) / 2)))</f>
        <v>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</row>
    <row r="11" ht="13.5" customHeight="1">
      <c r="A11" s="7" t="s">
        <v>553</v>
      </c>
      <c r="B11" s="22" t="s">
        <v>554</v>
      </c>
      <c r="C11" s="6" t="s">
        <v>555</v>
      </c>
      <c r="D11" s="13" t="s">
        <v>556</v>
      </c>
      <c r="E11" s="2" t="str">
        <f>AVERAGE(F11:NL11)</f>
        <v>#DIV/0!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  <c r="IY11" s="21"/>
      <c r="IZ11" s="21"/>
      <c r="JA11" s="21"/>
      <c r="JB11" s="21"/>
      <c r="JC11" s="21"/>
      <c r="JD11" s="21"/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1"/>
      <c r="JV11" s="21"/>
      <c r="JW11" s="21"/>
      <c r="JX11" s="21"/>
      <c r="JY11" s="21"/>
      <c r="JZ11" s="21"/>
      <c r="KA11" s="21"/>
      <c r="KB11" s="21"/>
      <c r="KC11" s="21"/>
      <c r="KD11" s="21"/>
      <c r="KE11" s="21"/>
      <c r="KF11" s="21"/>
      <c r="KG11" s="21"/>
      <c r="KH11" s="21"/>
      <c r="KI11" s="21"/>
      <c r="KJ11" s="21"/>
      <c r="KK11" s="21"/>
      <c r="KL11" s="21"/>
      <c r="KM11" s="21"/>
      <c r="KN11" s="21"/>
      <c r="KO11" s="21"/>
      <c r="KP11" s="21"/>
      <c r="KQ11" s="21"/>
      <c r="KR11" s="21"/>
      <c r="KS11" s="21"/>
      <c r="KT11" s="21"/>
      <c r="KU11" s="21"/>
      <c r="KV11" s="21"/>
      <c r="KW11" s="21"/>
      <c r="KX11" s="21"/>
      <c r="KY11" s="21"/>
      <c r="KZ11" s="21"/>
      <c r="LA11" s="21"/>
      <c r="LB11" s="21"/>
      <c r="LC11" s="21"/>
      <c r="LD11" s="21"/>
      <c r="LE11" s="21"/>
      <c r="LF11" s="21"/>
      <c r="LG11" s="21"/>
      <c r="LH11" s="21"/>
      <c r="LI11" s="21"/>
      <c r="LJ11" s="21"/>
      <c r="LK11" s="21"/>
      <c r="LL11" s="21"/>
      <c r="LM11" s="21"/>
      <c r="LN11" s="21"/>
      <c r="LO11" s="21"/>
      <c r="LP11" s="21"/>
      <c r="LQ11" s="21"/>
      <c r="LR11" s="21"/>
      <c r="LS11" s="21"/>
      <c r="LT11" s="21"/>
      <c r="LU11" s="21"/>
      <c r="LV11" s="21"/>
      <c r="LW11" s="21"/>
      <c r="LX11" s="21"/>
      <c r="LY11" s="21"/>
      <c r="LZ11" s="21"/>
      <c r="MA11" s="21"/>
      <c r="MB11" s="21"/>
      <c r="MC11" s="21"/>
      <c r="MD11" s="21"/>
      <c r="ME11" s="21"/>
      <c r="MF11" s="21"/>
      <c r="MG11" s="21"/>
      <c r="MH11" s="21"/>
      <c r="MI11" s="21"/>
      <c r="MJ11" s="21"/>
      <c r="MK11" s="21"/>
      <c r="ML11" s="21"/>
      <c r="MM11" s="21"/>
      <c r="MN11" s="21"/>
      <c r="MO11" s="21"/>
      <c r="MP11" s="21"/>
      <c r="MQ11" s="21"/>
      <c r="MR11" s="21"/>
      <c r="MS11" s="21"/>
      <c r="MT11" s="21"/>
      <c r="MU11" s="21"/>
      <c r="MV11" s="21"/>
      <c r="MW11" s="21"/>
      <c r="MX11" s="21"/>
      <c r="MY11" s="21"/>
      <c r="MZ11" s="21"/>
      <c r="NA11" s="21"/>
      <c r="NB11" s="21"/>
      <c r="NC11" s="21"/>
      <c r="ND11" s="21"/>
      <c r="NE11" s="21"/>
      <c r="NF11" s="21"/>
      <c r="NG11" s="21"/>
      <c r="NH11" s="21"/>
      <c r="NI11" s="21"/>
      <c r="NJ11" s="21"/>
      <c r="NK11" s="21"/>
      <c r="NL11" s="21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</row>
    <row r="12" ht="13.5" customHeight="1">
      <c r="A12" s="7" t="s">
        <v>557</v>
      </c>
      <c r="B12" s="13" t="s">
        <v>558</v>
      </c>
      <c r="C12" s="7" t="s">
        <v>559</v>
      </c>
      <c r="D12" s="13" t="s">
        <v>560</v>
      </c>
      <c r="E12" s="2">
        <f t="array" ref="E12">AVERAGE(IF(F12:NL12 &lt;= 3, 0, IF(F12:NL12 &gt;= 4, 1, (F12:NL12 - 3) / 1)))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</row>
    <row r="13" ht="13.5" customHeight="1">
      <c r="A13" s="7" t="s">
        <v>561</v>
      </c>
      <c r="B13" s="13" t="s">
        <v>562</v>
      </c>
      <c r="C13" s="7" t="s">
        <v>563</v>
      </c>
      <c r="D13" s="13" t="s">
        <v>564</v>
      </c>
      <c r="E13" s="2">
        <f t="array" ref="E13">AVERAGE(IF(F13:NL13 &lt;= 3, 0, IF(F13:NL13 &gt;= 4, 1, (F13:NL13 - 3) / 1)))</f>
        <v>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</row>
    <row r="14" ht="13.5" customHeight="1">
      <c r="A14" s="7" t="s">
        <v>565</v>
      </c>
      <c r="B14" s="13" t="s">
        <v>566</v>
      </c>
      <c r="C14" s="7" t="s">
        <v>567</v>
      </c>
      <c r="D14" s="13" t="s">
        <v>568</v>
      </c>
      <c r="E14" s="2" t="str">
        <f>AVERAGE(F14:NL14)</f>
        <v>#DIV/0!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</row>
    <row r="15" ht="13.5" customHeight="1">
      <c r="A15" s="7" t="s">
        <v>569</v>
      </c>
      <c r="B15" s="13" t="s">
        <v>570</v>
      </c>
      <c r="C15" s="7" t="s">
        <v>571</v>
      </c>
      <c r="D15" s="13" t="s">
        <v>572</v>
      </c>
      <c r="E15" s="2">
        <f t="array" ref="E15">AVERAGE(IF(F15:NL15 &lt;= 3, 0, IF(F15:NL15 &gt;= 5, 1, (F15:NL15 - 3) / 2)))</f>
        <v>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</row>
    <row r="16" ht="13.5" customHeight="1">
      <c r="A16" s="7" t="s">
        <v>573</v>
      </c>
      <c r="B16" s="13" t="s">
        <v>574</v>
      </c>
      <c r="C16" s="7" t="s">
        <v>575</v>
      </c>
      <c r="D16" s="13" t="s">
        <v>576</v>
      </c>
      <c r="E16" s="2">
        <f t="array" ref="E16">AVERAGE(IF(F16:NL16 &lt;= 3, 0, IF(F16:NL16 &gt;= 5, 1, (F16:NL16 - 3) / 2)))</f>
        <v>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</row>
    <row r="17" ht="13.5" customHeight="1">
      <c r="A17" s="2"/>
      <c r="B17" s="22"/>
      <c r="C17" s="2"/>
      <c r="D17" s="13"/>
      <c r="E17" s="3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  <c r="IU17" s="14"/>
      <c r="IV17" s="14"/>
      <c r="IW17" s="14"/>
      <c r="IX17" s="14"/>
      <c r="IY17" s="14"/>
      <c r="IZ17" s="14"/>
      <c r="JA17" s="14"/>
      <c r="JB17" s="14"/>
      <c r="JC17" s="14"/>
      <c r="JD17" s="14"/>
      <c r="JE17" s="14"/>
      <c r="JF17" s="14"/>
      <c r="JG17" s="14"/>
      <c r="JH17" s="14"/>
      <c r="JI17" s="14"/>
      <c r="JJ17" s="14"/>
      <c r="JK17" s="14"/>
      <c r="JL17" s="14"/>
      <c r="JM17" s="14"/>
      <c r="JN17" s="14"/>
      <c r="JO17" s="14"/>
      <c r="JP17" s="14"/>
      <c r="JQ17" s="14"/>
      <c r="JR17" s="14"/>
      <c r="JS17" s="14"/>
      <c r="JT17" s="14"/>
      <c r="JU17" s="14"/>
      <c r="JV17" s="14"/>
      <c r="JW17" s="14"/>
      <c r="JX17" s="14"/>
      <c r="JY17" s="14"/>
      <c r="JZ17" s="14"/>
      <c r="KA17" s="14"/>
      <c r="KB17" s="14"/>
      <c r="KC17" s="14"/>
      <c r="KD17" s="14"/>
      <c r="KE17" s="14"/>
      <c r="KF17" s="14"/>
      <c r="KG17" s="14"/>
      <c r="KH17" s="14"/>
      <c r="KI17" s="14"/>
      <c r="KJ17" s="14"/>
      <c r="KK17" s="14"/>
      <c r="KL17" s="14"/>
      <c r="KM17" s="14"/>
      <c r="KN17" s="14"/>
      <c r="KO17" s="14"/>
      <c r="KP17" s="14"/>
      <c r="KQ17" s="14"/>
      <c r="KR17" s="14"/>
      <c r="KS17" s="14"/>
      <c r="KT17" s="14"/>
      <c r="KU17" s="14"/>
      <c r="KV17" s="14"/>
      <c r="KW17" s="14"/>
      <c r="KX17" s="14"/>
      <c r="KY17" s="14"/>
      <c r="KZ17" s="14"/>
      <c r="LA17" s="14"/>
      <c r="LB17" s="14"/>
      <c r="LC17" s="14"/>
      <c r="LD17" s="14"/>
      <c r="LE17" s="14"/>
      <c r="LF17" s="14"/>
      <c r="LG17" s="14"/>
      <c r="LH17" s="14"/>
      <c r="LI17" s="14"/>
      <c r="LJ17" s="14"/>
      <c r="LK17" s="14"/>
      <c r="LL17" s="14"/>
      <c r="LM17" s="14"/>
      <c r="LN17" s="14"/>
      <c r="LO17" s="14"/>
      <c r="LP17" s="14"/>
      <c r="LQ17" s="14"/>
      <c r="LR17" s="14"/>
      <c r="LS17" s="14"/>
      <c r="LT17" s="14"/>
      <c r="LU17" s="14"/>
      <c r="LV17" s="14"/>
      <c r="LW17" s="14"/>
      <c r="LX17" s="14"/>
      <c r="LY17" s="14"/>
      <c r="LZ17" s="14"/>
      <c r="MA17" s="14"/>
      <c r="MB17" s="14"/>
      <c r="MC17" s="14"/>
      <c r="MD17" s="14"/>
      <c r="ME17" s="14"/>
      <c r="MF17" s="14"/>
      <c r="MG17" s="14"/>
      <c r="MH17" s="14"/>
      <c r="MI17" s="14"/>
      <c r="MJ17" s="14"/>
      <c r="MK17" s="14"/>
      <c r="ML17" s="14"/>
      <c r="MM17" s="14"/>
      <c r="MN17" s="14"/>
      <c r="MO17" s="14"/>
      <c r="MP17" s="14"/>
      <c r="MQ17" s="14"/>
      <c r="MR17" s="14"/>
      <c r="MS17" s="14"/>
      <c r="MT17" s="14"/>
      <c r="MU17" s="14"/>
      <c r="MV17" s="14"/>
      <c r="MW17" s="14"/>
      <c r="MX17" s="14"/>
      <c r="MY17" s="14"/>
      <c r="MZ17" s="14"/>
      <c r="NA17" s="14"/>
      <c r="NB17" s="14"/>
      <c r="NC17" s="14"/>
      <c r="ND17" s="14"/>
      <c r="NE17" s="14"/>
      <c r="NF17" s="14"/>
      <c r="NG17" s="14"/>
      <c r="NH17" s="14"/>
      <c r="NI17" s="14"/>
      <c r="NJ17" s="14"/>
      <c r="NK17" s="14"/>
      <c r="NL17" s="14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</row>
    <row r="18" ht="13.5" customHeight="1">
      <c r="A18" s="2"/>
      <c r="B18" s="22"/>
      <c r="C18" s="2"/>
      <c r="D18" s="13"/>
      <c r="E18" s="3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  <c r="IU18" s="14"/>
      <c r="IV18" s="14"/>
      <c r="IW18" s="14"/>
      <c r="IX18" s="14"/>
      <c r="IY18" s="14"/>
      <c r="IZ18" s="14"/>
      <c r="JA18" s="14"/>
      <c r="JB18" s="14"/>
      <c r="JC18" s="14"/>
      <c r="JD18" s="14"/>
      <c r="JE18" s="14"/>
      <c r="JF18" s="14"/>
      <c r="JG18" s="14"/>
      <c r="JH18" s="14"/>
      <c r="JI18" s="14"/>
      <c r="JJ18" s="14"/>
      <c r="JK18" s="14"/>
      <c r="JL18" s="14"/>
      <c r="JM18" s="14"/>
      <c r="JN18" s="14"/>
      <c r="JO18" s="14"/>
      <c r="JP18" s="14"/>
      <c r="JQ18" s="14"/>
      <c r="JR18" s="14"/>
      <c r="JS18" s="14"/>
      <c r="JT18" s="14"/>
      <c r="JU18" s="14"/>
      <c r="JV18" s="14"/>
      <c r="JW18" s="14"/>
      <c r="JX18" s="14"/>
      <c r="JY18" s="14"/>
      <c r="JZ18" s="14"/>
      <c r="KA18" s="14"/>
      <c r="KB18" s="14"/>
      <c r="KC18" s="14"/>
      <c r="KD18" s="14"/>
      <c r="KE18" s="14"/>
      <c r="KF18" s="14"/>
      <c r="KG18" s="14"/>
      <c r="KH18" s="14"/>
      <c r="KI18" s="14"/>
      <c r="KJ18" s="14"/>
      <c r="KK18" s="14"/>
      <c r="KL18" s="14"/>
      <c r="KM18" s="14"/>
      <c r="KN18" s="14"/>
      <c r="KO18" s="14"/>
      <c r="KP18" s="14"/>
      <c r="KQ18" s="14"/>
      <c r="KR18" s="14"/>
      <c r="KS18" s="14"/>
      <c r="KT18" s="14"/>
      <c r="KU18" s="14"/>
      <c r="KV18" s="14"/>
      <c r="KW18" s="14"/>
      <c r="KX18" s="14"/>
      <c r="KY18" s="14"/>
      <c r="KZ18" s="14"/>
      <c r="LA18" s="14"/>
      <c r="LB18" s="14"/>
      <c r="LC18" s="14"/>
      <c r="LD18" s="14"/>
      <c r="LE18" s="14"/>
      <c r="LF18" s="14"/>
      <c r="LG18" s="14"/>
      <c r="LH18" s="14"/>
      <c r="LI18" s="14"/>
      <c r="LJ18" s="14"/>
      <c r="LK18" s="14"/>
      <c r="LL18" s="14"/>
      <c r="LM18" s="14"/>
      <c r="LN18" s="14"/>
      <c r="LO18" s="14"/>
      <c r="LP18" s="14"/>
      <c r="LQ18" s="14"/>
      <c r="LR18" s="14"/>
      <c r="LS18" s="14"/>
      <c r="LT18" s="14"/>
      <c r="LU18" s="14"/>
      <c r="LV18" s="14"/>
      <c r="LW18" s="14"/>
      <c r="LX18" s="14"/>
      <c r="LY18" s="14"/>
      <c r="LZ18" s="14"/>
      <c r="MA18" s="14"/>
      <c r="MB18" s="14"/>
      <c r="MC18" s="14"/>
      <c r="MD18" s="14"/>
      <c r="ME18" s="14"/>
      <c r="MF18" s="14"/>
      <c r="MG18" s="14"/>
      <c r="MH18" s="14"/>
      <c r="MI18" s="14"/>
      <c r="MJ18" s="14"/>
      <c r="MK18" s="14"/>
      <c r="ML18" s="14"/>
      <c r="MM18" s="14"/>
      <c r="MN18" s="14"/>
      <c r="MO18" s="14"/>
      <c r="MP18" s="14"/>
      <c r="MQ18" s="14"/>
      <c r="MR18" s="14"/>
      <c r="MS18" s="14"/>
      <c r="MT18" s="14"/>
      <c r="MU18" s="14"/>
      <c r="MV18" s="14"/>
      <c r="MW18" s="14"/>
      <c r="MX18" s="14"/>
      <c r="MY18" s="14"/>
      <c r="MZ18" s="14"/>
      <c r="NA18" s="14"/>
      <c r="NB18" s="14"/>
      <c r="NC18" s="14"/>
      <c r="ND18" s="14"/>
      <c r="NE18" s="14"/>
      <c r="NF18" s="14"/>
      <c r="NG18" s="14"/>
      <c r="NH18" s="14"/>
      <c r="NI18" s="14"/>
      <c r="NJ18" s="14"/>
      <c r="NK18" s="14"/>
      <c r="NL18" s="14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</row>
    <row r="19" ht="13.5" customHeight="1">
      <c r="A19" s="2"/>
      <c r="B19" s="22"/>
      <c r="C19" s="2"/>
      <c r="D19" s="13"/>
      <c r="E19" s="3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</row>
    <row r="20" ht="13.5" customHeight="1">
      <c r="A20" s="2"/>
      <c r="B20" s="13"/>
      <c r="C20" s="2"/>
      <c r="D20" s="13"/>
      <c r="E20" s="3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  <c r="IU20" s="14"/>
      <c r="IV20" s="14"/>
      <c r="IW20" s="14"/>
      <c r="IX20" s="14"/>
      <c r="IY20" s="14"/>
      <c r="IZ20" s="14"/>
      <c r="JA20" s="14"/>
      <c r="JB20" s="14"/>
      <c r="JC20" s="14"/>
      <c r="JD20" s="14"/>
      <c r="JE20" s="14"/>
      <c r="JF20" s="14"/>
      <c r="JG20" s="14"/>
      <c r="JH20" s="14"/>
      <c r="JI20" s="14"/>
      <c r="JJ20" s="14"/>
      <c r="JK20" s="14"/>
      <c r="JL20" s="14"/>
      <c r="JM20" s="14"/>
      <c r="JN20" s="14"/>
      <c r="JO20" s="14"/>
      <c r="JP20" s="14"/>
      <c r="JQ20" s="14"/>
      <c r="JR20" s="14"/>
      <c r="JS20" s="14"/>
      <c r="JT20" s="14"/>
      <c r="JU20" s="14"/>
      <c r="JV20" s="14"/>
      <c r="JW20" s="14"/>
      <c r="JX20" s="14"/>
      <c r="JY20" s="14"/>
      <c r="JZ20" s="14"/>
      <c r="KA20" s="14"/>
      <c r="KB20" s="14"/>
      <c r="KC20" s="14"/>
      <c r="KD20" s="14"/>
      <c r="KE20" s="14"/>
      <c r="KF20" s="14"/>
      <c r="KG20" s="14"/>
      <c r="KH20" s="14"/>
      <c r="KI20" s="14"/>
      <c r="KJ20" s="14"/>
      <c r="KK20" s="14"/>
      <c r="KL20" s="14"/>
      <c r="KM20" s="14"/>
      <c r="KN20" s="14"/>
      <c r="KO20" s="14"/>
      <c r="KP20" s="14"/>
      <c r="KQ20" s="14"/>
      <c r="KR20" s="14"/>
      <c r="KS20" s="14"/>
      <c r="KT20" s="14"/>
      <c r="KU20" s="14"/>
      <c r="KV20" s="14"/>
      <c r="KW20" s="14"/>
      <c r="KX20" s="14"/>
      <c r="KY20" s="14"/>
      <c r="KZ20" s="14"/>
      <c r="LA20" s="14"/>
      <c r="LB20" s="14"/>
      <c r="LC20" s="14"/>
      <c r="LD20" s="14"/>
      <c r="LE20" s="14"/>
      <c r="LF20" s="14"/>
      <c r="LG20" s="14"/>
      <c r="LH20" s="14"/>
      <c r="LI20" s="14"/>
      <c r="LJ20" s="14"/>
      <c r="LK20" s="14"/>
      <c r="LL20" s="14"/>
      <c r="LM20" s="14"/>
      <c r="LN20" s="14"/>
      <c r="LO20" s="14"/>
      <c r="LP20" s="14"/>
      <c r="LQ20" s="14"/>
      <c r="LR20" s="14"/>
      <c r="LS20" s="14"/>
      <c r="LT20" s="14"/>
      <c r="LU20" s="14"/>
      <c r="LV20" s="14"/>
      <c r="LW20" s="14"/>
      <c r="LX20" s="14"/>
      <c r="LY20" s="14"/>
      <c r="LZ20" s="14"/>
      <c r="MA20" s="14"/>
      <c r="MB20" s="14"/>
      <c r="MC20" s="14"/>
      <c r="MD20" s="14"/>
      <c r="ME20" s="14"/>
      <c r="MF20" s="14"/>
      <c r="MG20" s="14"/>
      <c r="MH20" s="14"/>
      <c r="MI20" s="14"/>
      <c r="MJ20" s="14"/>
      <c r="MK20" s="14"/>
      <c r="ML20" s="14"/>
      <c r="MM20" s="14"/>
      <c r="MN20" s="14"/>
      <c r="MO20" s="14"/>
      <c r="MP20" s="14"/>
      <c r="MQ20" s="14"/>
      <c r="MR20" s="14"/>
      <c r="MS20" s="14"/>
      <c r="MT20" s="14"/>
      <c r="MU20" s="14"/>
      <c r="MV20" s="14"/>
      <c r="MW20" s="14"/>
      <c r="MX20" s="14"/>
      <c r="MY20" s="14"/>
      <c r="MZ20" s="14"/>
      <c r="NA20" s="14"/>
      <c r="NB20" s="14"/>
      <c r="NC20" s="14"/>
      <c r="ND20" s="14"/>
      <c r="NE20" s="14"/>
      <c r="NF20" s="14"/>
      <c r="NG20" s="14"/>
      <c r="NH20" s="14"/>
      <c r="NI20" s="14"/>
      <c r="NJ20" s="14"/>
      <c r="NK20" s="14"/>
      <c r="NL20" s="14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</row>
    <row r="21" ht="13.5" customHeight="1">
      <c r="A21" s="2"/>
      <c r="B21" s="22"/>
      <c r="C21" s="2"/>
      <c r="D21" s="13"/>
      <c r="E21" s="3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  <c r="IT21" s="14"/>
      <c r="IU21" s="14"/>
      <c r="IV21" s="14"/>
      <c r="IW21" s="14"/>
      <c r="IX21" s="14"/>
      <c r="IY21" s="14"/>
      <c r="IZ21" s="14"/>
      <c r="JA21" s="14"/>
      <c r="JB21" s="14"/>
      <c r="JC21" s="14"/>
      <c r="JD21" s="14"/>
      <c r="JE21" s="14"/>
      <c r="JF21" s="14"/>
      <c r="JG21" s="14"/>
      <c r="JH21" s="14"/>
      <c r="JI21" s="14"/>
      <c r="JJ21" s="14"/>
      <c r="JK21" s="14"/>
      <c r="JL21" s="14"/>
      <c r="JM21" s="14"/>
      <c r="JN21" s="14"/>
      <c r="JO21" s="14"/>
      <c r="JP21" s="14"/>
      <c r="JQ21" s="14"/>
      <c r="JR21" s="14"/>
      <c r="JS21" s="14"/>
      <c r="JT21" s="14"/>
      <c r="JU21" s="14"/>
      <c r="JV21" s="14"/>
      <c r="JW21" s="14"/>
      <c r="JX21" s="14"/>
      <c r="JY21" s="14"/>
      <c r="JZ21" s="14"/>
      <c r="KA21" s="14"/>
      <c r="KB21" s="14"/>
      <c r="KC21" s="14"/>
      <c r="KD21" s="14"/>
      <c r="KE21" s="14"/>
      <c r="KF21" s="14"/>
      <c r="KG21" s="14"/>
      <c r="KH21" s="14"/>
      <c r="KI21" s="14"/>
      <c r="KJ21" s="14"/>
      <c r="KK21" s="14"/>
      <c r="KL21" s="14"/>
      <c r="KM21" s="14"/>
      <c r="KN21" s="14"/>
      <c r="KO21" s="14"/>
      <c r="KP21" s="14"/>
      <c r="KQ21" s="14"/>
      <c r="KR21" s="14"/>
      <c r="KS21" s="14"/>
      <c r="KT21" s="14"/>
      <c r="KU21" s="14"/>
      <c r="KV21" s="14"/>
      <c r="KW21" s="14"/>
      <c r="KX21" s="14"/>
      <c r="KY21" s="14"/>
      <c r="KZ21" s="14"/>
      <c r="LA21" s="14"/>
      <c r="LB21" s="14"/>
      <c r="LC21" s="14"/>
      <c r="LD21" s="14"/>
      <c r="LE21" s="14"/>
      <c r="LF21" s="14"/>
      <c r="LG21" s="14"/>
      <c r="LH21" s="14"/>
      <c r="LI21" s="14"/>
      <c r="LJ21" s="14"/>
      <c r="LK21" s="14"/>
      <c r="LL21" s="14"/>
      <c r="LM21" s="14"/>
      <c r="LN21" s="14"/>
      <c r="LO21" s="14"/>
      <c r="LP21" s="14"/>
      <c r="LQ21" s="14"/>
      <c r="LR21" s="14"/>
      <c r="LS21" s="14"/>
      <c r="LT21" s="14"/>
      <c r="LU21" s="14"/>
      <c r="LV21" s="14"/>
      <c r="LW21" s="14"/>
      <c r="LX21" s="14"/>
      <c r="LY21" s="14"/>
      <c r="LZ21" s="14"/>
      <c r="MA21" s="14"/>
      <c r="MB21" s="14"/>
      <c r="MC21" s="14"/>
      <c r="MD21" s="14"/>
      <c r="ME21" s="14"/>
      <c r="MF21" s="14"/>
      <c r="MG21" s="14"/>
      <c r="MH21" s="14"/>
      <c r="MI21" s="14"/>
      <c r="MJ21" s="14"/>
      <c r="MK21" s="14"/>
      <c r="ML21" s="14"/>
      <c r="MM21" s="14"/>
      <c r="MN21" s="14"/>
      <c r="MO21" s="14"/>
      <c r="MP21" s="14"/>
      <c r="MQ21" s="14"/>
      <c r="MR21" s="14"/>
      <c r="MS21" s="14"/>
      <c r="MT21" s="14"/>
      <c r="MU21" s="14"/>
      <c r="MV21" s="14"/>
      <c r="MW21" s="14"/>
      <c r="MX21" s="14"/>
      <c r="MY21" s="14"/>
      <c r="MZ21" s="14"/>
      <c r="NA21" s="14"/>
      <c r="NB21" s="14"/>
      <c r="NC21" s="14"/>
      <c r="ND21" s="14"/>
      <c r="NE21" s="14"/>
      <c r="NF21" s="14"/>
      <c r="NG21" s="14"/>
      <c r="NH21" s="14"/>
      <c r="NI21" s="14"/>
      <c r="NJ21" s="14"/>
      <c r="NK21" s="14"/>
      <c r="NL21" s="14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</row>
    <row r="22" ht="13.5" customHeight="1">
      <c r="A22" s="2"/>
      <c r="B22" s="22"/>
      <c r="C22" s="2"/>
      <c r="D22" s="13"/>
      <c r="E22" s="3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  <c r="IS22" s="14"/>
      <c r="IT22" s="14"/>
      <c r="IU22" s="14"/>
      <c r="IV22" s="14"/>
      <c r="IW22" s="14"/>
      <c r="IX22" s="14"/>
      <c r="IY22" s="14"/>
      <c r="IZ22" s="14"/>
      <c r="JA22" s="14"/>
      <c r="JB22" s="14"/>
      <c r="JC22" s="14"/>
      <c r="JD22" s="14"/>
      <c r="JE22" s="14"/>
      <c r="JF22" s="14"/>
      <c r="JG22" s="14"/>
      <c r="JH22" s="14"/>
      <c r="JI22" s="14"/>
      <c r="JJ22" s="14"/>
      <c r="JK22" s="14"/>
      <c r="JL22" s="14"/>
      <c r="JM22" s="14"/>
      <c r="JN22" s="14"/>
      <c r="JO22" s="14"/>
      <c r="JP22" s="14"/>
      <c r="JQ22" s="14"/>
      <c r="JR22" s="14"/>
      <c r="JS22" s="14"/>
      <c r="JT22" s="14"/>
      <c r="JU22" s="14"/>
      <c r="JV22" s="14"/>
      <c r="JW22" s="14"/>
      <c r="JX22" s="14"/>
      <c r="JY22" s="14"/>
      <c r="JZ22" s="14"/>
      <c r="KA22" s="14"/>
      <c r="KB22" s="14"/>
      <c r="KC22" s="14"/>
      <c r="KD22" s="14"/>
      <c r="KE22" s="14"/>
      <c r="KF22" s="14"/>
      <c r="KG22" s="14"/>
      <c r="KH22" s="14"/>
      <c r="KI22" s="14"/>
      <c r="KJ22" s="14"/>
      <c r="KK22" s="14"/>
      <c r="KL22" s="14"/>
      <c r="KM22" s="14"/>
      <c r="KN22" s="14"/>
      <c r="KO22" s="14"/>
      <c r="KP22" s="14"/>
      <c r="KQ22" s="14"/>
      <c r="KR22" s="14"/>
      <c r="KS22" s="14"/>
      <c r="KT22" s="14"/>
      <c r="KU22" s="14"/>
      <c r="KV22" s="14"/>
      <c r="KW22" s="14"/>
      <c r="KX22" s="14"/>
      <c r="KY22" s="14"/>
      <c r="KZ22" s="14"/>
      <c r="LA22" s="14"/>
      <c r="LB22" s="14"/>
      <c r="LC22" s="14"/>
      <c r="LD22" s="14"/>
      <c r="LE22" s="14"/>
      <c r="LF22" s="14"/>
      <c r="LG22" s="14"/>
      <c r="LH22" s="14"/>
      <c r="LI22" s="14"/>
      <c r="LJ22" s="14"/>
      <c r="LK22" s="14"/>
      <c r="LL22" s="14"/>
      <c r="LM22" s="14"/>
      <c r="LN22" s="14"/>
      <c r="LO22" s="14"/>
      <c r="LP22" s="14"/>
      <c r="LQ22" s="14"/>
      <c r="LR22" s="14"/>
      <c r="LS22" s="14"/>
      <c r="LT22" s="14"/>
      <c r="LU22" s="14"/>
      <c r="LV22" s="14"/>
      <c r="LW22" s="14"/>
      <c r="LX22" s="14"/>
      <c r="LY22" s="14"/>
      <c r="LZ22" s="14"/>
      <c r="MA22" s="14"/>
      <c r="MB22" s="14"/>
      <c r="MC22" s="14"/>
      <c r="MD22" s="14"/>
      <c r="ME22" s="14"/>
      <c r="MF22" s="14"/>
      <c r="MG22" s="14"/>
      <c r="MH22" s="14"/>
      <c r="MI22" s="14"/>
      <c r="MJ22" s="14"/>
      <c r="MK22" s="14"/>
      <c r="ML22" s="14"/>
      <c r="MM22" s="14"/>
      <c r="MN22" s="14"/>
      <c r="MO22" s="14"/>
      <c r="MP22" s="14"/>
      <c r="MQ22" s="14"/>
      <c r="MR22" s="14"/>
      <c r="MS22" s="14"/>
      <c r="MT22" s="14"/>
      <c r="MU22" s="14"/>
      <c r="MV22" s="14"/>
      <c r="MW22" s="14"/>
      <c r="MX22" s="14"/>
      <c r="MY22" s="14"/>
      <c r="MZ22" s="14"/>
      <c r="NA22" s="14"/>
      <c r="NB22" s="14"/>
      <c r="NC22" s="14"/>
      <c r="ND22" s="14"/>
      <c r="NE22" s="14"/>
      <c r="NF22" s="14"/>
      <c r="NG22" s="14"/>
      <c r="NH22" s="14"/>
      <c r="NI22" s="14"/>
      <c r="NJ22" s="14"/>
      <c r="NK22" s="14"/>
      <c r="NL22" s="14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</row>
    <row r="23" ht="13.5" customHeight="1">
      <c r="A23" s="2"/>
      <c r="B23" s="13"/>
      <c r="C23" s="2"/>
      <c r="D23" s="13"/>
      <c r="E23" s="3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  <c r="IP23" s="14"/>
      <c r="IQ23" s="14"/>
      <c r="IR23" s="14"/>
      <c r="IS23" s="14"/>
      <c r="IT23" s="14"/>
      <c r="IU23" s="14"/>
      <c r="IV23" s="14"/>
      <c r="IW23" s="14"/>
      <c r="IX23" s="14"/>
      <c r="IY23" s="14"/>
      <c r="IZ23" s="14"/>
      <c r="JA23" s="14"/>
      <c r="JB23" s="14"/>
      <c r="JC23" s="14"/>
      <c r="JD23" s="14"/>
      <c r="JE23" s="14"/>
      <c r="JF23" s="14"/>
      <c r="JG23" s="14"/>
      <c r="JH23" s="14"/>
      <c r="JI23" s="14"/>
      <c r="JJ23" s="14"/>
      <c r="JK23" s="14"/>
      <c r="JL23" s="14"/>
      <c r="JM23" s="14"/>
      <c r="JN23" s="14"/>
      <c r="JO23" s="14"/>
      <c r="JP23" s="14"/>
      <c r="JQ23" s="14"/>
      <c r="JR23" s="14"/>
      <c r="JS23" s="14"/>
      <c r="JT23" s="14"/>
      <c r="JU23" s="14"/>
      <c r="JV23" s="14"/>
      <c r="JW23" s="14"/>
      <c r="JX23" s="14"/>
      <c r="JY23" s="14"/>
      <c r="JZ23" s="14"/>
      <c r="KA23" s="14"/>
      <c r="KB23" s="14"/>
      <c r="KC23" s="14"/>
      <c r="KD23" s="14"/>
      <c r="KE23" s="14"/>
      <c r="KF23" s="14"/>
      <c r="KG23" s="14"/>
      <c r="KH23" s="14"/>
      <c r="KI23" s="14"/>
      <c r="KJ23" s="14"/>
      <c r="KK23" s="14"/>
      <c r="KL23" s="14"/>
      <c r="KM23" s="14"/>
      <c r="KN23" s="14"/>
      <c r="KO23" s="14"/>
      <c r="KP23" s="14"/>
      <c r="KQ23" s="14"/>
      <c r="KR23" s="14"/>
      <c r="KS23" s="14"/>
      <c r="KT23" s="14"/>
      <c r="KU23" s="14"/>
      <c r="KV23" s="14"/>
      <c r="KW23" s="14"/>
      <c r="KX23" s="14"/>
      <c r="KY23" s="14"/>
      <c r="KZ23" s="14"/>
      <c r="LA23" s="14"/>
      <c r="LB23" s="14"/>
      <c r="LC23" s="14"/>
      <c r="LD23" s="14"/>
      <c r="LE23" s="14"/>
      <c r="LF23" s="14"/>
      <c r="LG23" s="14"/>
      <c r="LH23" s="14"/>
      <c r="LI23" s="14"/>
      <c r="LJ23" s="14"/>
      <c r="LK23" s="14"/>
      <c r="LL23" s="14"/>
      <c r="LM23" s="14"/>
      <c r="LN23" s="14"/>
      <c r="LO23" s="14"/>
      <c r="LP23" s="14"/>
      <c r="LQ23" s="14"/>
      <c r="LR23" s="14"/>
      <c r="LS23" s="14"/>
      <c r="LT23" s="14"/>
      <c r="LU23" s="14"/>
      <c r="LV23" s="14"/>
      <c r="LW23" s="14"/>
      <c r="LX23" s="14"/>
      <c r="LY23" s="14"/>
      <c r="LZ23" s="14"/>
      <c r="MA23" s="14"/>
      <c r="MB23" s="14"/>
      <c r="MC23" s="14"/>
      <c r="MD23" s="14"/>
      <c r="ME23" s="14"/>
      <c r="MF23" s="14"/>
      <c r="MG23" s="14"/>
      <c r="MH23" s="14"/>
      <c r="MI23" s="14"/>
      <c r="MJ23" s="14"/>
      <c r="MK23" s="14"/>
      <c r="ML23" s="14"/>
      <c r="MM23" s="14"/>
      <c r="MN23" s="14"/>
      <c r="MO23" s="14"/>
      <c r="MP23" s="14"/>
      <c r="MQ23" s="14"/>
      <c r="MR23" s="14"/>
      <c r="MS23" s="14"/>
      <c r="MT23" s="14"/>
      <c r="MU23" s="14"/>
      <c r="MV23" s="14"/>
      <c r="MW23" s="14"/>
      <c r="MX23" s="14"/>
      <c r="MY23" s="14"/>
      <c r="MZ23" s="14"/>
      <c r="NA23" s="14"/>
      <c r="NB23" s="14"/>
      <c r="NC23" s="14"/>
      <c r="ND23" s="14"/>
      <c r="NE23" s="14"/>
      <c r="NF23" s="14"/>
      <c r="NG23" s="14"/>
      <c r="NH23" s="14"/>
      <c r="NI23" s="14"/>
      <c r="NJ23" s="14"/>
      <c r="NK23" s="14"/>
      <c r="NL23" s="14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</row>
    <row r="24" ht="13.5" customHeight="1">
      <c r="A24" s="2"/>
      <c r="B24" s="22"/>
      <c r="C24" s="2"/>
      <c r="D24" s="13"/>
      <c r="E24" s="3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  <c r="IS24" s="14"/>
      <c r="IT24" s="14"/>
      <c r="IU24" s="14"/>
      <c r="IV24" s="14"/>
      <c r="IW24" s="14"/>
      <c r="IX24" s="14"/>
      <c r="IY24" s="14"/>
      <c r="IZ24" s="14"/>
      <c r="JA24" s="14"/>
      <c r="JB24" s="14"/>
      <c r="JC24" s="14"/>
      <c r="JD24" s="14"/>
      <c r="JE24" s="14"/>
      <c r="JF24" s="14"/>
      <c r="JG24" s="14"/>
      <c r="JH24" s="14"/>
      <c r="JI24" s="14"/>
      <c r="JJ24" s="14"/>
      <c r="JK24" s="14"/>
      <c r="JL24" s="14"/>
      <c r="JM24" s="14"/>
      <c r="JN24" s="14"/>
      <c r="JO24" s="14"/>
      <c r="JP24" s="14"/>
      <c r="JQ24" s="14"/>
      <c r="JR24" s="14"/>
      <c r="JS24" s="14"/>
      <c r="JT24" s="14"/>
      <c r="JU24" s="14"/>
      <c r="JV24" s="14"/>
      <c r="JW24" s="14"/>
      <c r="JX24" s="14"/>
      <c r="JY24" s="14"/>
      <c r="JZ24" s="14"/>
      <c r="KA24" s="14"/>
      <c r="KB24" s="14"/>
      <c r="KC24" s="14"/>
      <c r="KD24" s="14"/>
      <c r="KE24" s="14"/>
      <c r="KF24" s="14"/>
      <c r="KG24" s="14"/>
      <c r="KH24" s="14"/>
      <c r="KI24" s="14"/>
      <c r="KJ24" s="14"/>
      <c r="KK24" s="14"/>
      <c r="KL24" s="14"/>
      <c r="KM24" s="14"/>
      <c r="KN24" s="14"/>
      <c r="KO24" s="14"/>
      <c r="KP24" s="14"/>
      <c r="KQ24" s="14"/>
      <c r="KR24" s="14"/>
      <c r="KS24" s="14"/>
      <c r="KT24" s="14"/>
      <c r="KU24" s="14"/>
      <c r="KV24" s="14"/>
      <c r="KW24" s="14"/>
      <c r="KX24" s="14"/>
      <c r="KY24" s="14"/>
      <c r="KZ24" s="14"/>
      <c r="LA24" s="14"/>
      <c r="LB24" s="14"/>
      <c r="LC24" s="14"/>
      <c r="LD24" s="14"/>
      <c r="LE24" s="14"/>
      <c r="LF24" s="14"/>
      <c r="LG24" s="14"/>
      <c r="LH24" s="14"/>
      <c r="LI24" s="14"/>
      <c r="LJ24" s="14"/>
      <c r="LK24" s="14"/>
      <c r="LL24" s="14"/>
      <c r="LM24" s="14"/>
      <c r="LN24" s="14"/>
      <c r="LO24" s="14"/>
      <c r="LP24" s="14"/>
      <c r="LQ24" s="14"/>
      <c r="LR24" s="14"/>
      <c r="LS24" s="14"/>
      <c r="LT24" s="14"/>
      <c r="LU24" s="14"/>
      <c r="LV24" s="14"/>
      <c r="LW24" s="14"/>
      <c r="LX24" s="14"/>
      <c r="LY24" s="14"/>
      <c r="LZ24" s="14"/>
      <c r="MA24" s="14"/>
      <c r="MB24" s="14"/>
      <c r="MC24" s="14"/>
      <c r="MD24" s="14"/>
      <c r="ME24" s="14"/>
      <c r="MF24" s="14"/>
      <c r="MG24" s="14"/>
      <c r="MH24" s="14"/>
      <c r="MI24" s="14"/>
      <c r="MJ24" s="14"/>
      <c r="MK24" s="14"/>
      <c r="ML24" s="14"/>
      <c r="MM24" s="14"/>
      <c r="MN24" s="14"/>
      <c r="MO24" s="14"/>
      <c r="MP24" s="14"/>
      <c r="MQ24" s="14"/>
      <c r="MR24" s="14"/>
      <c r="MS24" s="14"/>
      <c r="MT24" s="14"/>
      <c r="MU24" s="14"/>
      <c r="MV24" s="14"/>
      <c r="MW24" s="14"/>
      <c r="MX24" s="14"/>
      <c r="MY24" s="14"/>
      <c r="MZ24" s="14"/>
      <c r="NA24" s="14"/>
      <c r="NB24" s="14"/>
      <c r="NC24" s="14"/>
      <c r="ND24" s="14"/>
      <c r="NE24" s="14"/>
      <c r="NF24" s="14"/>
      <c r="NG24" s="14"/>
      <c r="NH24" s="14"/>
      <c r="NI24" s="14"/>
      <c r="NJ24" s="14"/>
      <c r="NK24" s="14"/>
      <c r="NL24" s="14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</row>
    <row r="25" ht="13.5" customHeight="1">
      <c r="A25" s="2"/>
      <c r="B25" s="13"/>
      <c r="C25" s="2"/>
      <c r="D25" s="13"/>
      <c r="E25" s="3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  <c r="IU25" s="14"/>
      <c r="IV25" s="14"/>
      <c r="IW25" s="14"/>
      <c r="IX25" s="14"/>
      <c r="IY25" s="14"/>
      <c r="IZ25" s="14"/>
      <c r="JA25" s="14"/>
      <c r="JB25" s="14"/>
      <c r="JC25" s="14"/>
      <c r="JD25" s="14"/>
      <c r="JE25" s="14"/>
      <c r="JF25" s="14"/>
      <c r="JG25" s="14"/>
      <c r="JH25" s="14"/>
      <c r="JI25" s="14"/>
      <c r="JJ25" s="14"/>
      <c r="JK25" s="14"/>
      <c r="JL25" s="14"/>
      <c r="JM25" s="14"/>
      <c r="JN25" s="14"/>
      <c r="JO25" s="14"/>
      <c r="JP25" s="14"/>
      <c r="JQ25" s="14"/>
      <c r="JR25" s="14"/>
      <c r="JS25" s="14"/>
      <c r="JT25" s="14"/>
      <c r="JU25" s="14"/>
      <c r="JV25" s="14"/>
      <c r="JW25" s="14"/>
      <c r="JX25" s="14"/>
      <c r="JY25" s="14"/>
      <c r="JZ25" s="14"/>
      <c r="KA25" s="14"/>
      <c r="KB25" s="14"/>
      <c r="KC25" s="14"/>
      <c r="KD25" s="14"/>
      <c r="KE25" s="14"/>
      <c r="KF25" s="14"/>
      <c r="KG25" s="14"/>
      <c r="KH25" s="14"/>
      <c r="KI25" s="14"/>
      <c r="KJ25" s="14"/>
      <c r="KK25" s="14"/>
      <c r="KL25" s="14"/>
      <c r="KM25" s="14"/>
      <c r="KN25" s="14"/>
      <c r="KO25" s="14"/>
      <c r="KP25" s="14"/>
      <c r="KQ25" s="14"/>
      <c r="KR25" s="14"/>
      <c r="KS25" s="14"/>
      <c r="KT25" s="14"/>
      <c r="KU25" s="14"/>
      <c r="KV25" s="14"/>
      <c r="KW25" s="14"/>
      <c r="KX25" s="14"/>
      <c r="KY25" s="14"/>
      <c r="KZ25" s="14"/>
      <c r="LA25" s="14"/>
      <c r="LB25" s="14"/>
      <c r="LC25" s="14"/>
      <c r="LD25" s="14"/>
      <c r="LE25" s="14"/>
      <c r="LF25" s="14"/>
      <c r="LG25" s="14"/>
      <c r="LH25" s="14"/>
      <c r="LI25" s="14"/>
      <c r="LJ25" s="14"/>
      <c r="LK25" s="14"/>
      <c r="LL25" s="14"/>
      <c r="LM25" s="14"/>
      <c r="LN25" s="14"/>
      <c r="LO25" s="14"/>
      <c r="LP25" s="14"/>
      <c r="LQ25" s="14"/>
      <c r="LR25" s="14"/>
      <c r="LS25" s="14"/>
      <c r="LT25" s="14"/>
      <c r="LU25" s="14"/>
      <c r="LV25" s="14"/>
      <c r="LW25" s="14"/>
      <c r="LX25" s="14"/>
      <c r="LY25" s="14"/>
      <c r="LZ25" s="14"/>
      <c r="MA25" s="14"/>
      <c r="MB25" s="14"/>
      <c r="MC25" s="14"/>
      <c r="MD25" s="14"/>
      <c r="ME25" s="14"/>
      <c r="MF25" s="14"/>
      <c r="MG25" s="14"/>
      <c r="MH25" s="14"/>
      <c r="MI25" s="14"/>
      <c r="MJ25" s="14"/>
      <c r="MK25" s="14"/>
      <c r="ML25" s="14"/>
      <c r="MM25" s="14"/>
      <c r="MN25" s="14"/>
      <c r="MO25" s="14"/>
      <c r="MP25" s="14"/>
      <c r="MQ25" s="14"/>
      <c r="MR25" s="14"/>
      <c r="MS25" s="14"/>
      <c r="MT25" s="14"/>
      <c r="MU25" s="14"/>
      <c r="MV25" s="14"/>
      <c r="MW25" s="14"/>
      <c r="MX25" s="14"/>
      <c r="MY25" s="14"/>
      <c r="MZ25" s="14"/>
      <c r="NA25" s="14"/>
      <c r="NB25" s="14"/>
      <c r="NC25" s="14"/>
      <c r="ND25" s="14"/>
      <c r="NE25" s="14"/>
      <c r="NF25" s="14"/>
      <c r="NG25" s="14"/>
      <c r="NH25" s="14"/>
      <c r="NI25" s="14"/>
      <c r="NJ25" s="14"/>
      <c r="NK25" s="14"/>
      <c r="NL25" s="14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</row>
    <row r="26" ht="13.5" customHeight="1">
      <c r="A26" s="2"/>
      <c r="B26" s="22"/>
      <c r="C26" s="2"/>
      <c r="D26" s="13"/>
      <c r="E26" s="3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  <c r="IU26" s="14"/>
      <c r="IV26" s="14"/>
      <c r="IW26" s="14"/>
      <c r="IX26" s="14"/>
      <c r="IY26" s="14"/>
      <c r="IZ26" s="14"/>
      <c r="JA26" s="14"/>
      <c r="JB26" s="14"/>
      <c r="JC26" s="14"/>
      <c r="JD26" s="14"/>
      <c r="JE26" s="14"/>
      <c r="JF26" s="14"/>
      <c r="JG26" s="14"/>
      <c r="JH26" s="14"/>
      <c r="JI26" s="14"/>
      <c r="JJ26" s="14"/>
      <c r="JK26" s="14"/>
      <c r="JL26" s="14"/>
      <c r="JM26" s="14"/>
      <c r="JN26" s="14"/>
      <c r="JO26" s="14"/>
      <c r="JP26" s="14"/>
      <c r="JQ26" s="14"/>
      <c r="JR26" s="14"/>
      <c r="JS26" s="14"/>
      <c r="JT26" s="14"/>
      <c r="JU26" s="14"/>
      <c r="JV26" s="14"/>
      <c r="JW26" s="14"/>
      <c r="JX26" s="14"/>
      <c r="JY26" s="14"/>
      <c r="JZ26" s="14"/>
      <c r="KA26" s="14"/>
      <c r="KB26" s="14"/>
      <c r="KC26" s="14"/>
      <c r="KD26" s="14"/>
      <c r="KE26" s="14"/>
      <c r="KF26" s="14"/>
      <c r="KG26" s="14"/>
      <c r="KH26" s="14"/>
      <c r="KI26" s="14"/>
      <c r="KJ26" s="14"/>
      <c r="KK26" s="14"/>
      <c r="KL26" s="14"/>
      <c r="KM26" s="14"/>
      <c r="KN26" s="14"/>
      <c r="KO26" s="14"/>
      <c r="KP26" s="14"/>
      <c r="KQ26" s="14"/>
      <c r="KR26" s="14"/>
      <c r="KS26" s="14"/>
      <c r="KT26" s="14"/>
      <c r="KU26" s="14"/>
      <c r="KV26" s="14"/>
      <c r="KW26" s="14"/>
      <c r="KX26" s="14"/>
      <c r="KY26" s="14"/>
      <c r="KZ26" s="14"/>
      <c r="LA26" s="14"/>
      <c r="LB26" s="14"/>
      <c r="LC26" s="14"/>
      <c r="LD26" s="14"/>
      <c r="LE26" s="14"/>
      <c r="LF26" s="14"/>
      <c r="LG26" s="14"/>
      <c r="LH26" s="14"/>
      <c r="LI26" s="14"/>
      <c r="LJ26" s="14"/>
      <c r="LK26" s="14"/>
      <c r="LL26" s="14"/>
      <c r="LM26" s="14"/>
      <c r="LN26" s="14"/>
      <c r="LO26" s="14"/>
      <c r="LP26" s="14"/>
      <c r="LQ26" s="14"/>
      <c r="LR26" s="14"/>
      <c r="LS26" s="14"/>
      <c r="LT26" s="14"/>
      <c r="LU26" s="14"/>
      <c r="LV26" s="14"/>
      <c r="LW26" s="14"/>
      <c r="LX26" s="14"/>
      <c r="LY26" s="14"/>
      <c r="LZ26" s="14"/>
      <c r="MA26" s="14"/>
      <c r="MB26" s="14"/>
      <c r="MC26" s="14"/>
      <c r="MD26" s="14"/>
      <c r="ME26" s="14"/>
      <c r="MF26" s="14"/>
      <c r="MG26" s="14"/>
      <c r="MH26" s="14"/>
      <c r="MI26" s="14"/>
      <c r="MJ26" s="14"/>
      <c r="MK26" s="14"/>
      <c r="ML26" s="14"/>
      <c r="MM26" s="14"/>
      <c r="MN26" s="14"/>
      <c r="MO26" s="14"/>
      <c r="MP26" s="14"/>
      <c r="MQ26" s="14"/>
      <c r="MR26" s="14"/>
      <c r="MS26" s="14"/>
      <c r="MT26" s="14"/>
      <c r="MU26" s="14"/>
      <c r="MV26" s="14"/>
      <c r="MW26" s="14"/>
      <c r="MX26" s="14"/>
      <c r="MY26" s="14"/>
      <c r="MZ26" s="14"/>
      <c r="NA26" s="14"/>
      <c r="NB26" s="14"/>
      <c r="NC26" s="14"/>
      <c r="ND26" s="14"/>
      <c r="NE26" s="14"/>
      <c r="NF26" s="14"/>
      <c r="NG26" s="14"/>
      <c r="NH26" s="14"/>
      <c r="NI26" s="14"/>
      <c r="NJ26" s="14"/>
      <c r="NK26" s="14"/>
      <c r="NL26" s="14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</row>
    <row r="27" ht="13.5" customHeight="1">
      <c r="A27" s="2"/>
      <c r="B27" s="22"/>
      <c r="C27" s="2"/>
      <c r="D27" s="13"/>
      <c r="E27" s="3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  <c r="IT27" s="14"/>
      <c r="IU27" s="14"/>
      <c r="IV27" s="14"/>
      <c r="IW27" s="14"/>
      <c r="IX27" s="14"/>
      <c r="IY27" s="14"/>
      <c r="IZ27" s="14"/>
      <c r="JA27" s="14"/>
      <c r="JB27" s="14"/>
      <c r="JC27" s="14"/>
      <c r="JD27" s="14"/>
      <c r="JE27" s="14"/>
      <c r="JF27" s="14"/>
      <c r="JG27" s="14"/>
      <c r="JH27" s="14"/>
      <c r="JI27" s="14"/>
      <c r="JJ27" s="14"/>
      <c r="JK27" s="14"/>
      <c r="JL27" s="14"/>
      <c r="JM27" s="14"/>
      <c r="JN27" s="14"/>
      <c r="JO27" s="14"/>
      <c r="JP27" s="14"/>
      <c r="JQ27" s="14"/>
      <c r="JR27" s="14"/>
      <c r="JS27" s="14"/>
      <c r="JT27" s="14"/>
      <c r="JU27" s="14"/>
      <c r="JV27" s="14"/>
      <c r="JW27" s="14"/>
      <c r="JX27" s="14"/>
      <c r="JY27" s="14"/>
      <c r="JZ27" s="14"/>
      <c r="KA27" s="14"/>
      <c r="KB27" s="14"/>
      <c r="KC27" s="14"/>
      <c r="KD27" s="14"/>
      <c r="KE27" s="14"/>
      <c r="KF27" s="14"/>
      <c r="KG27" s="14"/>
      <c r="KH27" s="14"/>
      <c r="KI27" s="14"/>
      <c r="KJ27" s="14"/>
      <c r="KK27" s="14"/>
      <c r="KL27" s="14"/>
      <c r="KM27" s="14"/>
      <c r="KN27" s="14"/>
      <c r="KO27" s="14"/>
      <c r="KP27" s="14"/>
      <c r="KQ27" s="14"/>
      <c r="KR27" s="14"/>
      <c r="KS27" s="14"/>
      <c r="KT27" s="14"/>
      <c r="KU27" s="14"/>
      <c r="KV27" s="14"/>
      <c r="KW27" s="14"/>
      <c r="KX27" s="14"/>
      <c r="KY27" s="14"/>
      <c r="KZ27" s="14"/>
      <c r="LA27" s="14"/>
      <c r="LB27" s="14"/>
      <c r="LC27" s="14"/>
      <c r="LD27" s="14"/>
      <c r="LE27" s="14"/>
      <c r="LF27" s="14"/>
      <c r="LG27" s="14"/>
      <c r="LH27" s="14"/>
      <c r="LI27" s="14"/>
      <c r="LJ27" s="14"/>
      <c r="LK27" s="14"/>
      <c r="LL27" s="14"/>
      <c r="LM27" s="14"/>
      <c r="LN27" s="14"/>
      <c r="LO27" s="14"/>
      <c r="LP27" s="14"/>
      <c r="LQ27" s="14"/>
      <c r="LR27" s="14"/>
      <c r="LS27" s="14"/>
      <c r="LT27" s="14"/>
      <c r="LU27" s="14"/>
      <c r="LV27" s="14"/>
      <c r="LW27" s="14"/>
      <c r="LX27" s="14"/>
      <c r="LY27" s="14"/>
      <c r="LZ27" s="14"/>
      <c r="MA27" s="14"/>
      <c r="MB27" s="14"/>
      <c r="MC27" s="14"/>
      <c r="MD27" s="14"/>
      <c r="ME27" s="14"/>
      <c r="MF27" s="14"/>
      <c r="MG27" s="14"/>
      <c r="MH27" s="14"/>
      <c r="MI27" s="14"/>
      <c r="MJ27" s="14"/>
      <c r="MK27" s="14"/>
      <c r="ML27" s="14"/>
      <c r="MM27" s="14"/>
      <c r="MN27" s="14"/>
      <c r="MO27" s="14"/>
      <c r="MP27" s="14"/>
      <c r="MQ27" s="14"/>
      <c r="MR27" s="14"/>
      <c r="MS27" s="14"/>
      <c r="MT27" s="14"/>
      <c r="MU27" s="14"/>
      <c r="MV27" s="14"/>
      <c r="MW27" s="14"/>
      <c r="MX27" s="14"/>
      <c r="MY27" s="14"/>
      <c r="MZ27" s="14"/>
      <c r="NA27" s="14"/>
      <c r="NB27" s="14"/>
      <c r="NC27" s="14"/>
      <c r="ND27" s="14"/>
      <c r="NE27" s="14"/>
      <c r="NF27" s="14"/>
      <c r="NG27" s="14"/>
      <c r="NH27" s="14"/>
      <c r="NI27" s="14"/>
      <c r="NJ27" s="14"/>
      <c r="NK27" s="14"/>
      <c r="NL27" s="14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</row>
    <row r="28" ht="13.5" customHeight="1">
      <c r="A28" s="2"/>
      <c r="B28" s="22"/>
      <c r="C28" s="2"/>
      <c r="D28" s="13"/>
      <c r="E28" s="3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  <c r="IU28" s="14"/>
      <c r="IV28" s="14"/>
      <c r="IW28" s="14"/>
      <c r="IX28" s="14"/>
      <c r="IY28" s="14"/>
      <c r="IZ28" s="14"/>
      <c r="JA28" s="14"/>
      <c r="JB28" s="14"/>
      <c r="JC28" s="14"/>
      <c r="JD28" s="14"/>
      <c r="JE28" s="14"/>
      <c r="JF28" s="14"/>
      <c r="JG28" s="14"/>
      <c r="JH28" s="14"/>
      <c r="JI28" s="14"/>
      <c r="JJ28" s="14"/>
      <c r="JK28" s="14"/>
      <c r="JL28" s="14"/>
      <c r="JM28" s="14"/>
      <c r="JN28" s="14"/>
      <c r="JO28" s="14"/>
      <c r="JP28" s="14"/>
      <c r="JQ28" s="14"/>
      <c r="JR28" s="14"/>
      <c r="JS28" s="14"/>
      <c r="JT28" s="14"/>
      <c r="JU28" s="14"/>
      <c r="JV28" s="14"/>
      <c r="JW28" s="14"/>
      <c r="JX28" s="14"/>
      <c r="JY28" s="14"/>
      <c r="JZ28" s="14"/>
      <c r="KA28" s="14"/>
      <c r="KB28" s="14"/>
      <c r="KC28" s="14"/>
      <c r="KD28" s="14"/>
      <c r="KE28" s="14"/>
      <c r="KF28" s="14"/>
      <c r="KG28" s="14"/>
      <c r="KH28" s="14"/>
      <c r="KI28" s="14"/>
      <c r="KJ28" s="14"/>
      <c r="KK28" s="14"/>
      <c r="KL28" s="14"/>
      <c r="KM28" s="14"/>
      <c r="KN28" s="14"/>
      <c r="KO28" s="14"/>
      <c r="KP28" s="14"/>
      <c r="KQ28" s="14"/>
      <c r="KR28" s="14"/>
      <c r="KS28" s="14"/>
      <c r="KT28" s="14"/>
      <c r="KU28" s="14"/>
      <c r="KV28" s="14"/>
      <c r="KW28" s="14"/>
      <c r="KX28" s="14"/>
      <c r="KY28" s="14"/>
      <c r="KZ28" s="14"/>
      <c r="LA28" s="14"/>
      <c r="LB28" s="14"/>
      <c r="LC28" s="14"/>
      <c r="LD28" s="14"/>
      <c r="LE28" s="14"/>
      <c r="LF28" s="14"/>
      <c r="LG28" s="14"/>
      <c r="LH28" s="14"/>
      <c r="LI28" s="14"/>
      <c r="LJ28" s="14"/>
      <c r="LK28" s="14"/>
      <c r="LL28" s="14"/>
      <c r="LM28" s="14"/>
      <c r="LN28" s="14"/>
      <c r="LO28" s="14"/>
      <c r="LP28" s="14"/>
      <c r="LQ28" s="14"/>
      <c r="LR28" s="14"/>
      <c r="LS28" s="14"/>
      <c r="LT28" s="14"/>
      <c r="LU28" s="14"/>
      <c r="LV28" s="14"/>
      <c r="LW28" s="14"/>
      <c r="LX28" s="14"/>
      <c r="LY28" s="14"/>
      <c r="LZ28" s="14"/>
      <c r="MA28" s="14"/>
      <c r="MB28" s="14"/>
      <c r="MC28" s="14"/>
      <c r="MD28" s="14"/>
      <c r="ME28" s="14"/>
      <c r="MF28" s="14"/>
      <c r="MG28" s="14"/>
      <c r="MH28" s="14"/>
      <c r="MI28" s="14"/>
      <c r="MJ28" s="14"/>
      <c r="MK28" s="14"/>
      <c r="ML28" s="14"/>
      <c r="MM28" s="14"/>
      <c r="MN28" s="14"/>
      <c r="MO28" s="14"/>
      <c r="MP28" s="14"/>
      <c r="MQ28" s="14"/>
      <c r="MR28" s="14"/>
      <c r="MS28" s="14"/>
      <c r="MT28" s="14"/>
      <c r="MU28" s="14"/>
      <c r="MV28" s="14"/>
      <c r="MW28" s="14"/>
      <c r="MX28" s="14"/>
      <c r="MY28" s="14"/>
      <c r="MZ28" s="14"/>
      <c r="NA28" s="14"/>
      <c r="NB28" s="14"/>
      <c r="NC28" s="14"/>
      <c r="ND28" s="14"/>
      <c r="NE28" s="14"/>
      <c r="NF28" s="14"/>
      <c r="NG28" s="14"/>
      <c r="NH28" s="14"/>
      <c r="NI28" s="14"/>
      <c r="NJ28" s="14"/>
      <c r="NK28" s="14"/>
      <c r="NL28" s="14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</row>
    <row r="29" ht="13.5" customHeight="1">
      <c r="A29" s="2"/>
      <c r="B29" s="22"/>
      <c r="C29" s="2"/>
      <c r="D29" s="13"/>
      <c r="E29" s="3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  <c r="IP29" s="14"/>
      <c r="IQ29" s="14"/>
      <c r="IR29" s="14"/>
      <c r="IS29" s="14"/>
      <c r="IT29" s="14"/>
      <c r="IU29" s="14"/>
      <c r="IV29" s="14"/>
      <c r="IW29" s="14"/>
      <c r="IX29" s="14"/>
      <c r="IY29" s="14"/>
      <c r="IZ29" s="14"/>
      <c r="JA29" s="14"/>
      <c r="JB29" s="14"/>
      <c r="JC29" s="14"/>
      <c r="JD29" s="14"/>
      <c r="JE29" s="14"/>
      <c r="JF29" s="14"/>
      <c r="JG29" s="14"/>
      <c r="JH29" s="14"/>
      <c r="JI29" s="14"/>
      <c r="JJ29" s="14"/>
      <c r="JK29" s="14"/>
      <c r="JL29" s="14"/>
      <c r="JM29" s="14"/>
      <c r="JN29" s="14"/>
      <c r="JO29" s="14"/>
      <c r="JP29" s="14"/>
      <c r="JQ29" s="14"/>
      <c r="JR29" s="14"/>
      <c r="JS29" s="14"/>
      <c r="JT29" s="14"/>
      <c r="JU29" s="14"/>
      <c r="JV29" s="14"/>
      <c r="JW29" s="14"/>
      <c r="JX29" s="14"/>
      <c r="JY29" s="14"/>
      <c r="JZ29" s="14"/>
      <c r="KA29" s="14"/>
      <c r="KB29" s="14"/>
      <c r="KC29" s="14"/>
      <c r="KD29" s="14"/>
      <c r="KE29" s="14"/>
      <c r="KF29" s="14"/>
      <c r="KG29" s="14"/>
      <c r="KH29" s="14"/>
      <c r="KI29" s="14"/>
      <c r="KJ29" s="14"/>
      <c r="KK29" s="14"/>
      <c r="KL29" s="14"/>
      <c r="KM29" s="14"/>
      <c r="KN29" s="14"/>
      <c r="KO29" s="14"/>
      <c r="KP29" s="14"/>
      <c r="KQ29" s="14"/>
      <c r="KR29" s="14"/>
      <c r="KS29" s="14"/>
      <c r="KT29" s="14"/>
      <c r="KU29" s="14"/>
      <c r="KV29" s="14"/>
      <c r="KW29" s="14"/>
      <c r="KX29" s="14"/>
      <c r="KY29" s="14"/>
      <c r="KZ29" s="14"/>
      <c r="LA29" s="14"/>
      <c r="LB29" s="14"/>
      <c r="LC29" s="14"/>
      <c r="LD29" s="14"/>
      <c r="LE29" s="14"/>
      <c r="LF29" s="14"/>
      <c r="LG29" s="14"/>
      <c r="LH29" s="14"/>
      <c r="LI29" s="14"/>
      <c r="LJ29" s="14"/>
      <c r="LK29" s="14"/>
      <c r="LL29" s="14"/>
      <c r="LM29" s="14"/>
      <c r="LN29" s="14"/>
      <c r="LO29" s="14"/>
      <c r="LP29" s="14"/>
      <c r="LQ29" s="14"/>
      <c r="LR29" s="14"/>
      <c r="LS29" s="14"/>
      <c r="LT29" s="14"/>
      <c r="LU29" s="14"/>
      <c r="LV29" s="14"/>
      <c r="LW29" s="14"/>
      <c r="LX29" s="14"/>
      <c r="LY29" s="14"/>
      <c r="LZ29" s="14"/>
      <c r="MA29" s="14"/>
      <c r="MB29" s="14"/>
      <c r="MC29" s="14"/>
      <c r="MD29" s="14"/>
      <c r="ME29" s="14"/>
      <c r="MF29" s="14"/>
      <c r="MG29" s="14"/>
      <c r="MH29" s="14"/>
      <c r="MI29" s="14"/>
      <c r="MJ29" s="14"/>
      <c r="MK29" s="14"/>
      <c r="ML29" s="14"/>
      <c r="MM29" s="14"/>
      <c r="MN29" s="14"/>
      <c r="MO29" s="14"/>
      <c r="MP29" s="14"/>
      <c r="MQ29" s="14"/>
      <c r="MR29" s="14"/>
      <c r="MS29" s="14"/>
      <c r="MT29" s="14"/>
      <c r="MU29" s="14"/>
      <c r="MV29" s="14"/>
      <c r="MW29" s="14"/>
      <c r="MX29" s="14"/>
      <c r="MY29" s="14"/>
      <c r="MZ29" s="14"/>
      <c r="NA29" s="14"/>
      <c r="NB29" s="14"/>
      <c r="NC29" s="14"/>
      <c r="ND29" s="14"/>
      <c r="NE29" s="14"/>
      <c r="NF29" s="14"/>
      <c r="NG29" s="14"/>
      <c r="NH29" s="14"/>
      <c r="NI29" s="14"/>
      <c r="NJ29" s="14"/>
      <c r="NK29" s="14"/>
      <c r="NL29" s="14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</row>
    <row r="30" ht="13.5" customHeight="1">
      <c r="A30" s="2"/>
      <c r="B30" s="22"/>
      <c r="C30" s="2"/>
      <c r="D30" s="13"/>
      <c r="E30" s="3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  <c r="IP30" s="14"/>
      <c r="IQ30" s="14"/>
      <c r="IR30" s="14"/>
      <c r="IS30" s="14"/>
      <c r="IT30" s="14"/>
      <c r="IU30" s="14"/>
      <c r="IV30" s="14"/>
      <c r="IW30" s="14"/>
      <c r="IX30" s="14"/>
      <c r="IY30" s="14"/>
      <c r="IZ30" s="14"/>
      <c r="JA30" s="14"/>
      <c r="JB30" s="14"/>
      <c r="JC30" s="14"/>
      <c r="JD30" s="14"/>
      <c r="JE30" s="14"/>
      <c r="JF30" s="14"/>
      <c r="JG30" s="14"/>
      <c r="JH30" s="14"/>
      <c r="JI30" s="14"/>
      <c r="JJ30" s="14"/>
      <c r="JK30" s="14"/>
      <c r="JL30" s="14"/>
      <c r="JM30" s="14"/>
      <c r="JN30" s="14"/>
      <c r="JO30" s="14"/>
      <c r="JP30" s="14"/>
      <c r="JQ30" s="14"/>
      <c r="JR30" s="14"/>
      <c r="JS30" s="14"/>
      <c r="JT30" s="14"/>
      <c r="JU30" s="14"/>
      <c r="JV30" s="14"/>
      <c r="JW30" s="14"/>
      <c r="JX30" s="14"/>
      <c r="JY30" s="14"/>
      <c r="JZ30" s="14"/>
      <c r="KA30" s="14"/>
      <c r="KB30" s="14"/>
      <c r="KC30" s="14"/>
      <c r="KD30" s="14"/>
      <c r="KE30" s="14"/>
      <c r="KF30" s="14"/>
      <c r="KG30" s="14"/>
      <c r="KH30" s="14"/>
      <c r="KI30" s="14"/>
      <c r="KJ30" s="14"/>
      <c r="KK30" s="14"/>
      <c r="KL30" s="14"/>
      <c r="KM30" s="14"/>
      <c r="KN30" s="14"/>
      <c r="KO30" s="14"/>
      <c r="KP30" s="14"/>
      <c r="KQ30" s="14"/>
      <c r="KR30" s="14"/>
      <c r="KS30" s="14"/>
      <c r="KT30" s="14"/>
      <c r="KU30" s="14"/>
      <c r="KV30" s="14"/>
      <c r="KW30" s="14"/>
      <c r="KX30" s="14"/>
      <c r="KY30" s="14"/>
      <c r="KZ30" s="14"/>
      <c r="LA30" s="14"/>
      <c r="LB30" s="14"/>
      <c r="LC30" s="14"/>
      <c r="LD30" s="14"/>
      <c r="LE30" s="14"/>
      <c r="LF30" s="14"/>
      <c r="LG30" s="14"/>
      <c r="LH30" s="14"/>
      <c r="LI30" s="14"/>
      <c r="LJ30" s="14"/>
      <c r="LK30" s="14"/>
      <c r="LL30" s="14"/>
      <c r="LM30" s="14"/>
      <c r="LN30" s="14"/>
      <c r="LO30" s="14"/>
      <c r="LP30" s="14"/>
      <c r="LQ30" s="14"/>
      <c r="LR30" s="14"/>
      <c r="LS30" s="14"/>
      <c r="LT30" s="14"/>
      <c r="LU30" s="14"/>
      <c r="LV30" s="14"/>
      <c r="LW30" s="14"/>
      <c r="LX30" s="14"/>
      <c r="LY30" s="14"/>
      <c r="LZ30" s="14"/>
      <c r="MA30" s="14"/>
      <c r="MB30" s="14"/>
      <c r="MC30" s="14"/>
      <c r="MD30" s="14"/>
      <c r="ME30" s="14"/>
      <c r="MF30" s="14"/>
      <c r="MG30" s="14"/>
      <c r="MH30" s="14"/>
      <c r="MI30" s="14"/>
      <c r="MJ30" s="14"/>
      <c r="MK30" s="14"/>
      <c r="ML30" s="14"/>
      <c r="MM30" s="14"/>
      <c r="MN30" s="14"/>
      <c r="MO30" s="14"/>
      <c r="MP30" s="14"/>
      <c r="MQ30" s="14"/>
      <c r="MR30" s="14"/>
      <c r="MS30" s="14"/>
      <c r="MT30" s="14"/>
      <c r="MU30" s="14"/>
      <c r="MV30" s="14"/>
      <c r="MW30" s="14"/>
      <c r="MX30" s="14"/>
      <c r="MY30" s="14"/>
      <c r="MZ30" s="14"/>
      <c r="NA30" s="14"/>
      <c r="NB30" s="14"/>
      <c r="NC30" s="14"/>
      <c r="ND30" s="14"/>
      <c r="NE30" s="14"/>
      <c r="NF30" s="14"/>
      <c r="NG30" s="14"/>
      <c r="NH30" s="14"/>
      <c r="NI30" s="14"/>
      <c r="NJ30" s="14"/>
      <c r="NK30" s="14"/>
      <c r="NL30" s="14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</row>
    <row r="31" ht="13.5" customHeight="1">
      <c r="A31" s="2"/>
      <c r="B31" s="22"/>
      <c r="C31" s="2"/>
      <c r="D31" s="13"/>
      <c r="E31" s="3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  <c r="IS31" s="14"/>
      <c r="IT31" s="14"/>
      <c r="IU31" s="14"/>
      <c r="IV31" s="14"/>
      <c r="IW31" s="14"/>
      <c r="IX31" s="14"/>
      <c r="IY31" s="14"/>
      <c r="IZ31" s="14"/>
      <c r="JA31" s="14"/>
      <c r="JB31" s="14"/>
      <c r="JC31" s="14"/>
      <c r="JD31" s="14"/>
      <c r="JE31" s="14"/>
      <c r="JF31" s="14"/>
      <c r="JG31" s="14"/>
      <c r="JH31" s="14"/>
      <c r="JI31" s="14"/>
      <c r="JJ31" s="14"/>
      <c r="JK31" s="14"/>
      <c r="JL31" s="14"/>
      <c r="JM31" s="14"/>
      <c r="JN31" s="14"/>
      <c r="JO31" s="14"/>
      <c r="JP31" s="14"/>
      <c r="JQ31" s="14"/>
      <c r="JR31" s="14"/>
      <c r="JS31" s="14"/>
      <c r="JT31" s="14"/>
      <c r="JU31" s="14"/>
      <c r="JV31" s="14"/>
      <c r="JW31" s="14"/>
      <c r="JX31" s="14"/>
      <c r="JY31" s="14"/>
      <c r="JZ31" s="14"/>
      <c r="KA31" s="14"/>
      <c r="KB31" s="14"/>
      <c r="KC31" s="14"/>
      <c r="KD31" s="14"/>
      <c r="KE31" s="14"/>
      <c r="KF31" s="14"/>
      <c r="KG31" s="14"/>
      <c r="KH31" s="14"/>
      <c r="KI31" s="14"/>
      <c r="KJ31" s="14"/>
      <c r="KK31" s="14"/>
      <c r="KL31" s="14"/>
      <c r="KM31" s="14"/>
      <c r="KN31" s="14"/>
      <c r="KO31" s="14"/>
      <c r="KP31" s="14"/>
      <c r="KQ31" s="14"/>
      <c r="KR31" s="14"/>
      <c r="KS31" s="14"/>
      <c r="KT31" s="14"/>
      <c r="KU31" s="14"/>
      <c r="KV31" s="14"/>
      <c r="KW31" s="14"/>
      <c r="KX31" s="14"/>
      <c r="KY31" s="14"/>
      <c r="KZ31" s="14"/>
      <c r="LA31" s="14"/>
      <c r="LB31" s="14"/>
      <c r="LC31" s="14"/>
      <c r="LD31" s="14"/>
      <c r="LE31" s="14"/>
      <c r="LF31" s="14"/>
      <c r="LG31" s="14"/>
      <c r="LH31" s="14"/>
      <c r="LI31" s="14"/>
      <c r="LJ31" s="14"/>
      <c r="LK31" s="14"/>
      <c r="LL31" s="14"/>
      <c r="LM31" s="14"/>
      <c r="LN31" s="14"/>
      <c r="LO31" s="14"/>
      <c r="LP31" s="14"/>
      <c r="LQ31" s="14"/>
      <c r="LR31" s="14"/>
      <c r="LS31" s="14"/>
      <c r="LT31" s="14"/>
      <c r="LU31" s="14"/>
      <c r="LV31" s="14"/>
      <c r="LW31" s="14"/>
      <c r="LX31" s="14"/>
      <c r="LY31" s="14"/>
      <c r="LZ31" s="14"/>
      <c r="MA31" s="14"/>
      <c r="MB31" s="14"/>
      <c r="MC31" s="14"/>
      <c r="MD31" s="14"/>
      <c r="ME31" s="14"/>
      <c r="MF31" s="14"/>
      <c r="MG31" s="14"/>
      <c r="MH31" s="14"/>
      <c r="MI31" s="14"/>
      <c r="MJ31" s="14"/>
      <c r="MK31" s="14"/>
      <c r="ML31" s="14"/>
      <c r="MM31" s="14"/>
      <c r="MN31" s="14"/>
      <c r="MO31" s="14"/>
      <c r="MP31" s="14"/>
      <c r="MQ31" s="14"/>
      <c r="MR31" s="14"/>
      <c r="MS31" s="14"/>
      <c r="MT31" s="14"/>
      <c r="MU31" s="14"/>
      <c r="MV31" s="14"/>
      <c r="MW31" s="14"/>
      <c r="MX31" s="14"/>
      <c r="MY31" s="14"/>
      <c r="MZ31" s="14"/>
      <c r="NA31" s="14"/>
      <c r="NB31" s="14"/>
      <c r="NC31" s="14"/>
      <c r="ND31" s="14"/>
      <c r="NE31" s="14"/>
      <c r="NF31" s="14"/>
      <c r="NG31" s="14"/>
      <c r="NH31" s="14"/>
      <c r="NI31" s="14"/>
      <c r="NJ31" s="14"/>
      <c r="NK31" s="14"/>
      <c r="NL31" s="14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</row>
    <row r="32" ht="13.5" customHeight="1">
      <c r="A32" s="2"/>
      <c r="B32" s="22"/>
      <c r="C32" s="2"/>
      <c r="D32" s="13"/>
      <c r="E32" s="3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/>
      <c r="IJ32" s="14"/>
      <c r="IK32" s="14"/>
      <c r="IL32" s="14"/>
      <c r="IM32" s="14"/>
      <c r="IN32" s="14"/>
      <c r="IO32" s="14"/>
      <c r="IP32" s="14"/>
      <c r="IQ32" s="14"/>
      <c r="IR32" s="14"/>
      <c r="IS32" s="14"/>
      <c r="IT32" s="14"/>
      <c r="IU32" s="14"/>
      <c r="IV32" s="14"/>
      <c r="IW32" s="14"/>
      <c r="IX32" s="14"/>
      <c r="IY32" s="14"/>
      <c r="IZ32" s="14"/>
      <c r="JA32" s="14"/>
      <c r="JB32" s="14"/>
      <c r="JC32" s="14"/>
      <c r="JD32" s="14"/>
      <c r="JE32" s="14"/>
      <c r="JF32" s="14"/>
      <c r="JG32" s="14"/>
      <c r="JH32" s="14"/>
      <c r="JI32" s="14"/>
      <c r="JJ32" s="14"/>
      <c r="JK32" s="14"/>
      <c r="JL32" s="14"/>
      <c r="JM32" s="14"/>
      <c r="JN32" s="14"/>
      <c r="JO32" s="14"/>
      <c r="JP32" s="14"/>
      <c r="JQ32" s="14"/>
      <c r="JR32" s="14"/>
      <c r="JS32" s="14"/>
      <c r="JT32" s="14"/>
      <c r="JU32" s="14"/>
      <c r="JV32" s="14"/>
      <c r="JW32" s="14"/>
      <c r="JX32" s="14"/>
      <c r="JY32" s="14"/>
      <c r="JZ32" s="14"/>
      <c r="KA32" s="14"/>
      <c r="KB32" s="14"/>
      <c r="KC32" s="14"/>
      <c r="KD32" s="14"/>
      <c r="KE32" s="14"/>
      <c r="KF32" s="14"/>
      <c r="KG32" s="14"/>
      <c r="KH32" s="14"/>
      <c r="KI32" s="14"/>
      <c r="KJ32" s="14"/>
      <c r="KK32" s="14"/>
      <c r="KL32" s="14"/>
      <c r="KM32" s="14"/>
      <c r="KN32" s="14"/>
      <c r="KO32" s="14"/>
      <c r="KP32" s="14"/>
      <c r="KQ32" s="14"/>
      <c r="KR32" s="14"/>
      <c r="KS32" s="14"/>
      <c r="KT32" s="14"/>
      <c r="KU32" s="14"/>
      <c r="KV32" s="14"/>
      <c r="KW32" s="14"/>
      <c r="KX32" s="14"/>
      <c r="KY32" s="14"/>
      <c r="KZ32" s="14"/>
      <c r="LA32" s="14"/>
      <c r="LB32" s="14"/>
      <c r="LC32" s="14"/>
      <c r="LD32" s="14"/>
      <c r="LE32" s="14"/>
      <c r="LF32" s="14"/>
      <c r="LG32" s="14"/>
      <c r="LH32" s="14"/>
      <c r="LI32" s="14"/>
      <c r="LJ32" s="14"/>
      <c r="LK32" s="14"/>
      <c r="LL32" s="14"/>
      <c r="LM32" s="14"/>
      <c r="LN32" s="14"/>
      <c r="LO32" s="14"/>
      <c r="LP32" s="14"/>
      <c r="LQ32" s="14"/>
      <c r="LR32" s="14"/>
      <c r="LS32" s="14"/>
      <c r="LT32" s="14"/>
      <c r="LU32" s="14"/>
      <c r="LV32" s="14"/>
      <c r="LW32" s="14"/>
      <c r="LX32" s="14"/>
      <c r="LY32" s="14"/>
      <c r="LZ32" s="14"/>
      <c r="MA32" s="14"/>
      <c r="MB32" s="14"/>
      <c r="MC32" s="14"/>
      <c r="MD32" s="14"/>
      <c r="ME32" s="14"/>
      <c r="MF32" s="14"/>
      <c r="MG32" s="14"/>
      <c r="MH32" s="14"/>
      <c r="MI32" s="14"/>
      <c r="MJ32" s="14"/>
      <c r="MK32" s="14"/>
      <c r="ML32" s="14"/>
      <c r="MM32" s="14"/>
      <c r="MN32" s="14"/>
      <c r="MO32" s="14"/>
      <c r="MP32" s="14"/>
      <c r="MQ32" s="14"/>
      <c r="MR32" s="14"/>
      <c r="MS32" s="14"/>
      <c r="MT32" s="14"/>
      <c r="MU32" s="14"/>
      <c r="MV32" s="14"/>
      <c r="MW32" s="14"/>
      <c r="MX32" s="14"/>
      <c r="MY32" s="14"/>
      <c r="MZ32" s="14"/>
      <c r="NA32" s="14"/>
      <c r="NB32" s="14"/>
      <c r="NC32" s="14"/>
      <c r="ND32" s="14"/>
      <c r="NE32" s="14"/>
      <c r="NF32" s="14"/>
      <c r="NG32" s="14"/>
      <c r="NH32" s="14"/>
      <c r="NI32" s="14"/>
      <c r="NJ32" s="14"/>
      <c r="NK32" s="14"/>
      <c r="NL32" s="14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</row>
    <row r="33" ht="13.5" customHeight="1">
      <c r="A33" s="2"/>
      <c r="B33" s="22"/>
      <c r="C33" s="2"/>
      <c r="D33" s="13"/>
      <c r="E33" s="3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  <c r="IP33" s="14"/>
      <c r="IQ33" s="14"/>
      <c r="IR33" s="14"/>
      <c r="IS33" s="14"/>
      <c r="IT33" s="14"/>
      <c r="IU33" s="14"/>
      <c r="IV33" s="14"/>
      <c r="IW33" s="14"/>
      <c r="IX33" s="14"/>
      <c r="IY33" s="14"/>
      <c r="IZ33" s="14"/>
      <c r="JA33" s="14"/>
      <c r="JB33" s="14"/>
      <c r="JC33" s="14"/>
      <c r="JD33" s="14"/>
      <c r="JE33" s="14"/>
      <c r="JF33" s="14"/>
      <c r="JG33" s="14"/>
      <c r="JH33" s="14"/>
      <c r="JI33" s="14"/>
      <c r="JJ33" s="14"/>
      <c r="JK33" s="14"/>
      <c r="JL33" s="14"/>
      <c r="JM33" s="14"/>
      <c r="JN33" s="14"/>
      <c r="JO33" s="14"/>
      <c r="JP33" s="14"/>
      <c r="JQ33" s="14"/>
      <c r="JR33" s="14"/>
      <c r="JS33" s="14"/>
      <c r="JT33" s="14"/>
      <c r="JU33" s="14"/>
      <c r="JV33" s="14"/>
      <c r="JW33" s="14"/>
      <c r="JX33" s="14"/>
      <c r="JY33" s="14"/>
      <c r="JZ33" s="14"/>
      <c r="KA33" s="14"/>
      <c r="KB33" s="14"/>
      <c r="KC33" s="14"/>
      <c r="KD33" s="14"/>
      <c r="KE33" s="14"/>
      <c r="KF33" s="14"/>
      <c r="KG33" s="14"/>
      <c r="KH33" s="14"/>
      <c r="KI33" s="14"/>
      <c r="KJ33" s="14"/>
      <c r="KK33" s="14"/>
      <c r="KL33" s="14"/>
      <c r="KM33" s="14"/>
      <c r="KN33" s="14"/>
      <c r="KO33" s="14"/>
      <c r="KP33" s="14"/>
      <c r="KQ33" s="14"/>
      <c r="KR33" s="14"/>
      <c r="KS33" s="14"/>
      <c r="KT33" s="14"/>
      <c r="KU33" s="14"/>
      <c r="KV33" s="14"/>
      <c r="KW33" s="14"/>
      <c r="KX33" s="14"/>
      <c r="KY33" s="14"/>
      <c r="KZ33" s="14"/>
      <c r="LA33" s="14"/>
      <c r="LB33" s="14"/>
      <c r="LC33" s="14"/>
      <c r="LD33" s="14"/>
      <c r="LE33" s="14"/>
      <c r="LF33" s="14"/>
      <c r="LG33" s="14"/>
      <c r="LH33" s="14"/>
      <c r="LI33" s="14"/>
      <c r="LJ33" s="14"/>
      <c r="LK33" s="14"/>
      <c r="LL33" s="14"/>
      <c r="LM33" s="14"/>
      <c r="LN33" s="14"/>
      <c r="LO33" s="14"/>
      <c r="LP33" s="14"/>
      <c r="LQ33" s="14"/>
      <c r="LR33" s="14"/>
      <c r="LS33" s="14"/>
      <c r="LT33" s="14"/>
      <c r="LU33" s="14"/>
      <c r="LV33" s="14"/>
      <c r="LW33" s="14"/>
      <c r="LX33" s="14"/>
      <c r="LY33" s="14"/>
      <c r="LZ33" s="14"/>
      <c r="MA33" s="14"/>
      <c r="MB33" s="14"/>
      <c r="MC33" s="14"/>
      <c r="MD33" s="14"/>
      <c r="ME33" s="14"/>
      <c r="MF33" s="14"/>
      <c r="MG33" s="14"/>
      <c r="MH33" s="14"/>
      <c r="MI33" s="14"/>
      <c r="MJ33" s="14"/>
      <c r="MK33" s="14"/>
      <c r="ML33" s="14"/>
      <c r="MM33" s="14"/>
      <c r="MN33" s="14"/>
      <c r="MO33" s="14"/>
      <c r="MP33" s="14"/>
      <c r="MQ33" s="14"/>
      <c r="MR33" s="14"/>
      <c r="MS33" s="14"/>
      <c r="MT33" s="14"/>
      <c r="MU33" s="14"/>
      <c r="MV33" s="14"/>
      <c r="MW33" s="14"/>
      <c r="MX33" s="14"/>
      <c r="MY33" s="14"/>
      <c r="MZ33" s="14"/>
      <c r="NA33" s="14"/>
      <c r="NB33" s="14"/>
      <c r="NC33" s="14"/>
      <c r="ND33" s="14"/>
      <c r="NE33" s="14"/>
      <c r="NF33" s="14"/>
      <c r="NG33" s="14"/>
      <c r="NH33" s="14"/>
      <c r="NI33" s="14"/>
      <c r="NJ33" s="14"/>
      <c r="NK33" s="14"/>
      <c r="NL33" s="14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</row>
    <row r="34" ht="13.5" customHeight="1">
      <c r="A34" s="2"/>
      <c r="B34" s="22"/>
      <c r="C34" s="2"/>
      <c r="D34" s="13"/>
      <c r="E34" s="3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14"/>
      <c r="IG34" s="14"/>
      <c r="IH34" s="14"/>
      <c r="II34" s="14"/>
      <c r="IJ34" s="14"/>
      <c r="IK34" s="14"/>
      <c r="IL34" s="14"/>
      <c r="IM34" s="14"/>
      <c r="IN34" s="14"/>
      <c r="IO34" s="14"/>
      <c r="IP34" s="14"/>
      <c r="IQ34" s="14"/>
      <c r="IR34" s="14"/>
      <c r="IS34" s="14"/>
      <c r="IT34" s="14"/>
      <c r="IU34" s="14"/>
      <c r="IV34" s="14"/>
      <c r="IW34" s="14"/>
      <c r="IX34" s="14"/>
      <c r="IY34" s="14"/>
      <c r="IZ34" s="14"/>
      <c r="JA34" s="14"/>
      <c r="JB34" s="14"/>
      <c r="JC34" s="14"/>
      <c r="JD34" s="14"/>
      <c r="JE34" s="14"/>
      <c r="JF34" s="14"/>
      <c r="JG34" s="14"/>
      <c r="JH34" s="14"/>
      <c r="JI34" s="14"/>
      <c r="JJ34" s="14"/>
      <c r="JK34" s="14"/>
      <c r="JL34" s="14"/>
      <c r="JM34" s="14"/>
      <c r="JN34" s="14"/>
      <c r="JO34" s="14"/>
      <c r="JP34" s="14"/>
      <c r="JQ34" s="14"/>
      <c r="JR34" s="14"/>
      <c r="JS34" s="14"/>
      <c r="JT34" s="14"/>
      <c r="JU34" s="14"/>
      <c r="JV34" s="14"/>
      <c r="JW34" s="14"/>
      <c r="JX34" s="14"/>
      <c r="JY34" s="14"/>
      <c r="JZ34" s="14"/>
      <c r="KA34" s="14"/>
      <c r="KB34" s="14"/>
      <c r="KC34" s="14"/>
      <c r="KD34" s="14"/>
      <c r="KE34" s="14"/>
      <c r="KF34" s="14"/>
      <c r="KG34" s="14"/>
      <c r="KH34" s="14"/>
      <c r="KI34" s="14"/>
      <c r="KJ34" s="14"/>
      <c r="KK34" s="14"/>
      <c r="KL34" s="14"/>
      <c r="KM34" s="14"/>
      <c r="KN34" s="14"/>
      <c r="KO34" s="14"/>
      <c r="KP34" s="14"/>
      <c r="KQ34" s="14"/>
      <c r="KR34" s="14"/>
      <c r="KS34" s="14"/>
      <c r="KT34" s="14"/>
      <c r="KU34" s="14"/>
      <c r="KV34" s="14"/>
      <c r="KW34" s="14"/>
      <c r="KX34" s="14"/>
      <c r="KY34" s="14"/>
      <c r="KZ34" s="14"/>
      <c r="LA34" s="14"/>
      <c r="LB34" s="14"/>
      <c r="LC34" s="14"/>
      <c r="LD34" s="14"/>
      <c r="LE34" s="14"/>
      <c r="LF34" s="14"/>
      <c r="LG34" s="14"/>
      <c r="LH34" s="14"/>
      <c r="LI34" s="14"/>
      <c r="LJ34" s="14"/>
      <c r="LK34" s="14"/>
      <c r="LL34" s="14"/>
      <c r="LM34" s="14"/>
      <c r="LN34" s="14"/>
      <c r="LO34" s="14"/>
      <c r="LP34" s="14"/>
      <c r="LQ34" s="14"/>
      <c r="LR34" s="14"/>
      <c r="LS34" s="14"/>
      <c r="LT34" s="14"/>
      <c r="LU34" s="14"/>
      <c r="LV34" s="14"/>
      <c r="LW34" s="14"/>
      <c r="LX34" s="14"/>
      <c r="LY34" s="14"/>
      <c r="LZ34" s="14"/>
      <c r="MA34" s="14"/>
      <c r="MB34" s="14"/>
      <c r="MC34" s="14"/>
      <c r="MD34" s="14"/>
      <c r="ME34" s="14"/>
      <c r="MF34" s="14"/>
      <c r="MG34" s="14"/>
      <c r="MH34" s="14"/>
      <c r="MI34" s="14"/>
      <c r="MJ34" s="14"/>
      <c r="MK34" s="14"/>
      <c r="ML34" s="14"/>
      <c r="MM34" s="14"/>
      <c r="MN34" s="14"/>
      <c r="MO34" s="14"/>
      <c r="MP34" s="14"/>
      <c r="MQ34" s="14"/>
      <c r="MR34" s="14"/>
      <c r="MS34" s="14"/>
      <c r="MT34" s="14"/>
      <c r="MU34" s="14"/>
      <c r="MV34" s="14"/>
      <c r="MW34" s="14"/>
      <c r="MX34" s="14"/>
      <c r="MY34" s="14"/>
      <c r="MZ34" s="14"/>
      <c r="NA34" s="14"/>
      <c r="NB34" s="14"/>
      <c r="NC34" s="14"/>
      <c r="ND34" s="14"/>
      <c r="NE34" s="14"/>
      <c r="NF34" s="14"/>
      <c r="NG34" s="14"/>
      <c r="NH34" s="14"/>
      <c r="NI34" s="14"/>
      <c r="NJ34" s="14"/>
      <c r="NK34" s="14"/>
      <c r="NL34" s="14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</row>
    <row r="35" ht="13.5" customHeight="1">
      <c r="A35" s="2"/>
      <c r="B35" s="22"/>
      <c r="C35" s="2"/>
      <c r="D35" s="13"/>
      <c r="E35" s="3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14"/>
      <c r="IM35" s="14"/>
      <c r="IN35" s="14"/>
      <c r="IO35" s="14"/>
      <c r="IP35" s="14"/>
      <c r="IQ35" s="14"/>
      <c r="IR35" s="14"/>
      <c r="IS35" s="14"/>
      <c r="IT35" s="14"/>
      <c r="IU35" s="14"/>
      <c r="IV35" s="14"/>
      <c r="IW35" s="14"/>
      <c r="IX35" s="14"/>
      <c r="IY35" s="14"/>
      <c r="IZ35" s="14"/>
      <c r="JA35" s="14"/>
      <c r="JB35" s="14"/>
      <c r="JC35" s="14"/>
      <c r="JD35" s="14"/>
      <c r="JE35" s="14"/>
      <c r="JF35" s="14"/>
      <c r="JG35" s="14"/>
      <c r="JH35" s="14"/>
      <c r="JI35" s="14"/>
      <c r="JJ35" s="14"/>
      <c r="JK35" s="14"/>
      <c r="JL35" s="14"/>
      <c r="JM35" s="14"/>
      <c r="JN35" s="14"/>
      <c r="JO35" s="14"/>
      <c r="JP35" s="14"/>
      <c r="JQ35" s="14"/>
      <c r="JR35" s="14"/>
      <c r="JS35" s="14"/>
      <c r="JT35" s="14"/>
      <c r="JU35" s="14"/>
      <c r="JV35" s="14"/>
      <c r="JW35" s="14"/>
      <c r="JX35" s="14"/>
      <c r="JY35" s="14"/>
      <c r="JZ35" s="14"/>
      <c r="KA35" s="14"/>
      <c r="KB35" s="14"/>
      <c r="KC35" s="14"/>
      <c r="KD35" s="14"/>
      <c r="KE35" s="14"/>
      <c r="KF35" s="14"/>
      <c r="KG35" s="14"/>
      <c r="KH35" s="14"/>
      <c r="KI35" s="14"/>
      <c r="KJ35" s="14"/>
      <c r="KK35" s="14"/>
      <c r="KL35" s="14"/>
      <c r="KM35" s="14"/>
      <c r="KN35" s="14"/>
      <c r="KO35" s="14"/>
      <c r="KP35" s="14"/>
      <c r="KQ35" s="14"/>
      <c r="KR35" s="14"/>
      <c r="KS35" s="14"/>
      <c r="KT35" s="14"/>
      <c r="KU35" s="14"/>
      <c r="KV35" s="14"/>
      <c r="KW35" s="14"/>
      <c r="KX35" s="14"/>
      <c r="KY35" s="14"/>
      <c r="KZ35" s="14"/>
      <c r="LA35" s="14"/>
      <c r="LB35" s="14"/>
      <c r="LC35" s="14"/>
      <c r="LD35" s="14"/>
      <c r="LE35" s="14"/>
      <c r="LF35" s="14"/>
      <c r="LG35" s="14"/>
      <c r="LH35" s="14"/>
      <c r="LI35" s="14"/>
      <c r="LJ35" s="14"/>
      <c r="LK35" s="14"/>
      <c r="LL35" s="14"/>
      <c r="LM35" s="14"/>
      <c r="LN35" s="14"/>
      <c r="LO35" s="14"/>
      <c r="LP35" s="14"/>
      <c r="LQ35" s="14"/>
      <c r="LR35" s="14"/>
      <c r="LS35" s="14"/>
      <c r="LT35" s="14"/>
      <c r="LU35" s="14"/>
      <c r="LV35" s="14"/>
      <c r="LW35" s="14"/>
      <c r="LX35" s="14"/>
      <c r="LY35" s="14"/>
      <c r="LZ35" s="14"/>
      <c r="MA35" s="14"/>
      <c r="MB35" s="14"/>
      <c r="MC35" s="14"/>
      <c r="MD35" s="14"/>
      <c r="ME35" s="14"/>
      <c r="MF35" s="14"/>
      <c r="MG35" s="14"/>
      <c r="MH35" s="14"/>
      <c r="MI35" s="14"/>
      <c r="MJ35" s="14"/>
      <c r="MK35" s="14"/>
      <c r="ML35" s="14"/>
      <c r="MM35" s="14"/>
      <c r="MN35" s="14"/>
      <c r="MO35" s="14"/>
      <c r="MP35" s="14"/>
      <c r="MQ35" s="14"/>
      <c r="MR35" s="14"/>
      <c r="MS35" s="14"/>
      <c r="MT35" s="14"/>
      <c r="MU35" s="14"/>
      <c r="MV35" s="14"/>
      <c r="MW35" s="14"/>
      <c r="MX35" s="14"/>
      <c r="MY35" s="14"/>
      <c r="MZ35" s="14"/>
      <c r="NA35" s="14"/>
      <c r="NB35" s="14"/>
      <c r="NC35" s="14"/>
      <c r="ND35" s="14"/>
      <c r="NE35" s="14"/>
      <c r="NF35" s="14"/>
      <c r="NG35" s="14"/>
      <c r="NH35" s="14"/>
      <c r="NI35" s="14"/>
      <c r="NJ35" s="14"/>
      <c r="NK35" s="14"/>
      <c r="NL35" s="14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</row>
    <row r="36" ht="13.5" customHeight="1">
      <c r="A36" s="2"/>
      <c r="B36" s="22"/>
      <c r="C36" s="2"/>
      <c r="D36" s="13"/>
      <c r="E36" s="3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14"/>
      <c r="HJ36" s="14"/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/>
      <c r="IJ36" s="14"/>
      <c r="IK36" s="14"/>
      <c r="IL36" s="14"/>
      <c r="IM36" s="14"/>
      <c r="IN36" s="14"/>
      <c r="IO36" s="14"/>
      <c r="IP36" s="14"/>
      <c r="IQ36" s="14"/>
      <c r="IR36" s="14"/>
      <c r="IS36" s="14"/>
      <c r="IT36" s="14"/>
      <c r="IU36" s="14"/>
      <c r="IV36" s="14"/>
      <c r="IW36" s="14"/>
      <c r="IX36" s="14"/>
      <c r="IY36" s="14"/>
      <c r="IZ36" s="14"/>
      <c r="JA36" s="14"/>
      <c r="JB36" s="14"/>
      <c r="JC36" s="14"/>
      <c r="JD36" s="14"/>
      <c r="JE36" s="14"/>
      <c r="JF36" s="14"/>
      <c r="JG36" s="14"/>
      <c r="JH36" s="14"/>
      <c r="JI36" s="14"/>
      <c r="JJ36" s="14"/>
      <c r="JK36" s="14"/>
      <c r="JL36" s="14"/>
      <c r="JM36" s="14"/>
      <c r="JN36" s="14"/>
      <c r="JO36" s="14"/>
      <c r="JP36" s="14"/>
      <c r="JQ36" s="14"/>
      <c r="JR36" s="14"/>
      <c r="JS36" s="14"/>
      <c r="JT36" s="14"/>
      <c r="JU36" s="14"/>
      <c r="JV36" s="14"/>
      <c r="JW36" s="14"/>
      <c r="JX36" s="14"/>
      <c r="JY36" s="14"/>
      <c r="JZ36" s="14"/>
      <c r="KA36" s="14"/>
      <c r="KB36" s="14"/>
      <c r="KC36" s="14"/>
      <c r="KD36" s="14"/>
      <c r="KE36" s="14"/>
      <c r="KF36" s="14"/>
      <c r="KG36" s="14"/>
      <c r="KH36" s="14"/>
      <c r="KI36" s="14"/>
      <c r="KJ36" s="14"/>
      <c r="KK36" s="14"/>
      <c r="KL36" s="14"/>
      <c r="KM36" s="14"/>
      <c r="KN36" s="14"/>
      <c r="KO36" s="14"/>
      <c r="KP36" s="14"/>
      <c r="KQ36" s="14"/>
      <c r="KR36" s="14"/>
      <c r="KS36" s="14"/>
      <c r="KT36" s="14"/>
      <c r="KU36" s="14"/>
      <c r="KV36" s="14"/>
      <c r="KW36" s="14"/>
      <c r="KX36" s="14"/>
      <c r="KY36" s="14"/>
      <c r="KZ36" s="14"/>
      <c r="LA36" s="14"/>
      <c r="LB36" s="14"/>
      <c r="LC36" s="14"/>
      <c r="LD36" s="14"/>
      <c r="LE36" s="14"/>
      <c r="LF36" s="14"/>
      <c r="LG36" s="14"/>
      <c r="LH36" s="14"/>
      <c r="LI36" s="14"/>
      <c r="LJ36" s="14"/>
      <c r="LK36" s="14"/>
      <c r="LL36" s="14"/>
      <c r="LM36" s="14"/>
      <c r="LN36" s="14"/>
      <c r="LO36" s="14"/>
      <c r="LP36" s="14"/>
      <c r="LQ36" s="14"/>
      <c r="LR36" s="14"/>
      <c r="LS36" s="14"/>
      <c r="LT36" s="14"/>
      <c r="LU36" s="14"/>
      <c r="LV36" s="14"/>
      <c r="LW36" s="14"/>
      <c r="LX36" s="14"/>
      <c r="LY36" s="14"/>
      <c r="LZ36" s="14"/>
      <c r="MA36" s="14"/>
      <c r="MB36" s="14"/>
      <c r="MC36" s="14"/>
      <c r="MD36" s="14"/>
      <c r="ME36" s="14"/>
      <c r="MF36" s="14"/>
      <c r="MG36" s="14"/>
      <c r="MH36" s="14"/>
      <c r="MI36" s="14"/>
      <c r="MJ36" s="14"/>
      <c r="MK36" s="14"/>
      <c r="ML36" s="14"/>
      <c r="MM36" s="14"/>
      <c r="MN36" s="14"/>
      <c r="MO36" s="14"/>
      <c r="MP36" s="14"/>
      <c r="MQ36" s="14"/>
      <c r="MR36" s="14"/>
      <c r="MS36" s="14"/>
      <c r="MT36" s="14"/>
      <c r="MU36" s="14"/>
      <c r="MV36" s="14"/>
      <c r="MW36" s="14"/>
      <c r="MX36" s="14"/>
      <c r="MY36" s="14"/>
      <c r="MZ36" s="14"/>
      <c r="NA36" s="14"/>
      <c r="NB36" s="14"/>
      <c r="NC36" s="14"/>
      <c r="ND36" s="14"/>
      <c r="NE36" s="14"/>
      <c r="NF36" s="14"/>
      <c r="NG36" s="14"/>
      <c r="NH36" s="14"/>
      <c r="NI36" s="14"/>
      <c r="NJ36" s="14"/>
      <c r="NK36" s="14"/>
      <c r="NL36" s="14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</row>
    <row r="37" ht="13.5" customHeight="1">
      <c r="A37" s="2"/>
      <c r="B37" s="22"/>
      <c r="C37" s="2"/>
      <c r="D37" s="13"/>
      <c r="E37" s="3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4"/>
      <c r="HW37" s="14"/>
      <c r="HX37" s="14"/>
      <c r="HY37" s="14"/>
      <c r="HZ37" s="14"/>
      <c r="IA37" s="14"/>
      <c r="IB37" s="14"/>
      <c r="IC37" s="14"/>
      <c r="ID37" s="14"/>
      <c r="IE37" s="14"/>
      <c r="IF37" s="14"/>
      <c r="IG37" s="14"/>
      <c r="IH37" s="14"/>
      <c r="II37" s="14"/>
      <c r="IJ37" s="14"/>
      <c r="IK37" s="14"/>
      <c r="IL37" s="14"/>
      <c r="IM37" s="14"/>
      <c r="IN37" s="14"/>
      <c r="IO37" s="14"/>
      <c r="IP37" s="14"/>
      <c r="IQ37" s="14"/>
      <c r="IR37" s="14"/>
      <c r="IS37" s="14"/>
      <c r="IT37" s="14"/>
      <c r="IU37" s="14"/>
      <c r="IV37" s="14"/>
      <c r="IW37" s="14"/>
      <c r="IX37" s="14"/>
      <c r="IY37" s="14"/>
      <c r="IZ37" s="14"/>
      <c r="JA37" s="14"/>
      <c r="JB37" s="14"/>
      <c r="JC37" s="14"/>
      <c r="JD37" s="14"/>
      <c r="JE37" s="14"/>
      <c r="JF37" s="14"/>
      <c r="JG37" s="14"/>
      <c r="JH37" s="14"/>
      <c r="JI37" s="14"/>
      <c r="JJ37" s="14"/>
      <c r="JK37" s="14"/>
      <c r="JL37" s="14"/>
      <c r="JM37" s="14"/>
      <c r="JN37" s="14"/>
      <c r="JO37" s="14"/>
      <c r="JP37" s="14"/>
      <c r="JQ37" s="14"/>
      <c r="JR37" s="14"/>
      <c r="JS37" s="14"/>
      <c r="JT37" s="14"/>
      <c r="JU37" s="14"/>
      <c r="JV37" s="14"/>
      <c r="JW37" s="14"/>
      <c r="JX37" s="14"/>
      <c r="JY37" s="14"/>
      <c r="JZ37" s="14"/>
      <c r="KA37" s="14"/>
      <c r="KB37" s="14"/>
      <c r="KC37" s="14"/>
      <c r="KD37" s="14"/>
      <c r="KE37" s="14"/>
      <c r="KF37" s="14"/>
      <c r="KG37" s="14"/>
      <c r="KH37" s="14"/>
      <c r="KI37" s="14"/>
      <c r="KJ37" s="14"/>
      <c r="KK37" s="14"/>
      <c r="KL37" s="14"/>
      <c r="KM37" s="14"/>
      <c r="KN37" s="14"/>
      <c r="KO37" s="14"/>
      <c r="KP37" s="14"/>
      <c r="KQ37" s="14"/>
      <c r="KR37" s="14"/>
      <c r="KS37" s="14"/>
      <c r="KT37" s="14"/>
      <c r="KU37" s="14"/>
      <c r="KV37" s="14"/>
      <c r="KW37" s="14"/>
      <c r="KX37" s="14"/>
      <c r="KY37" s="14"/>
      <c r="KZ37" s="14"/>
      <c r="LA37" s="14"/>
      <c r="LB37" s="14"/>
      <c r="LC37" s="14"/>
      <c r="LD37" s="14"/>
      <c r="LE37" s="14"/>
      <c r="LF37" s="14"/>
      <c r="LG37" s="14"/>
      <c r="LH37" s="14"/>
      <c r="LI37" s="14"/>
      <c r="LJ37" s="14"/>
      <c r="LK37" s="14"/>
      <c r="LL37" s="14"/>
      <c r="LM37" s="14"/>
      <c r="LN37" s="14"/>
      <c r="LO37" s="14"/>
      <c r="LP37" s="14"/>
      <c r="LQ37" s="14"/>
      <c r="LR37" s="14"/>
      <c r="LS37" s="14"/>
      <c r="LT37" s="14"/>
      <c r="LU37" s="14"/>
      <c r="LV37" s="14"/>
      <c r="LW37" s="14"/>
      <c r="LX37" s="14"/>
      <c r="LY37" s="14"/>
      <c r="LZ37" s="14"/>
      <c r="MA37" s="14"/>
      <c r="MB37" s="14"/>
      <c r="MC37" s="14"/>
      <c r="MD37" s="14"/>
      <c r="ME37" s="14"/>
      <c r="MF37" s="14"/>
      <c r="MG37" s="14"/>
      <c r="MH37" s="14"/>
      <c r="MI37" s="14"/>
      <c r="MJ37" s="14"/>
      <c r="MK37" s="14"/>
      <c r="ML37" s="14"/>
      <c r="MM37" s="14"/>
      <c r="MN37" s="14"/>
      <c r="MO37" s="14"/>
      <c r="MP37" s="14"/>
      <c r="MQ37" s="14"/>
      <c r="MR37" s="14"/>
      <c r="MS37" s="14"/>
      <c r="MT37" s="14"/>
      <c r="MU37" s="14"/>
      <c r="MV37" s="14"/>
      <c r="MW37" s="14"/>
      <c r="MX37" s="14"/>
      <c r="MY37" s="14"/>
      <c r="MZ37" s="14"/>
      <c r="NA37" s="14"/>
      <c r="NB37" s="14"/>
      <c r="NC37" s="14"/>
      <c r="ND37" s="14"/>
      <c r="NE37" s="14"/>
      <c r="NF37" s="14"/>
      <c r="NG37" s="14"/>
      <c r="NH37" s="14"/>
      <c r="NI37" s="14"/>
      <c r="NJ37" s="14"/>
      <c r="NK37" s="14"/>
      <c r="NL37" s="14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</row>
    <row r="38" ht="13.5" customHeight="1">
      <c r="A38" s="2"/>
      <c r="B38" s="22"/>
      <c r="C38" s="2"/>
      <c r="D38" s="13"/>
      <c r="E38" s="3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4"/>
      <c r="HA38" s="14"/>
      <c r="HB38" s="14"/>
      <c r="HC38" s="14"/>
      <c r="HD38" s="14"/>
      <c r="HE38" s="14"/>
      <c r="HF38" s="14"/>
      <c r="HG38" s="14"/>
      <c r="HH38" s="14"/>
      <c r="HI38" s="14"/>
      <c r="HJ38" s="14"/>
      <c r="HK38" s="14"/>
      <c r="HL38" s="14"/>
      <c r="HM38" s="14"/>
      <c r="HN38" s="14"/>
      <c r="HO38" s="14"/>
      <c r="HP38" s="14"/>
      <c r="HQ38" s="14"/>
      <c r="HR38" s="14"/>
      <c r="HS38" s="14"/>
      <c r="HT38" s="14"/>
      <c r="HU38" s="14"/>
      <c r="HV38" s="14"/>
      <c r="HW38" s="14"/>
      <c r="HX38" s="14"/>
      <c r="HY38" s="14"/>
      <c r="HZ38" s="14"/>
      <c r="IA38" s="14"/>
      <c r="IB38" s="14"/>
      <c r="IC38" s="14"/>
      <c r="ID38" s="14"/>
      <c r="IE38" s="14"/>
      <c r="IF38" s="14"/>
      <c r="IG38" s="14"/>
      <c r="IH38" s="14"/>
      <c r="II38" s="14"/>
      <c r="IJ38" s="14"/>
      <c r="IK38" s="14"/>
      <c r="IL38" s="14"/>
      <c r="IM38" s="14"/>
      <c r="IN38" s="14"/>
      <c r="IO38" s="14"/>
      <c r="IP38" s="14"/>
      <c r="IQ38" s="14"/>
      <c r="IR38" s="14"/>
      <c r="IS38" s="14"/>
      <c r="IT38" s="14"/>
      <c r="IU38" s="14"/>
      <c r="IV38" s="14"/>
      <c r="IW38" s="14"/>
      <c r="IX38" s="14"/>
      <c r="IY38" s="14"/>
      <c r="IZ38" s="14"/>
      <c r="JA38" s="14"/>
      <c r="JB38" s="14"/>
      <c r="JC38" s="14"/>
      <c r="JD38" s="14"/>
      <c r="JE38" s="14"/>
      <c r="JF38" s="14"/>
      <c r="JG38" s="14"/>
      <c r="JH38" s="14"/>
      <c r="JI38" s="14"/>
      <c r="JJ38" s="14"/>
      <c r="JK38" s="14"/>
      <c r="JL38" s="14"/>
      <c r="JM38" s="14"/>
      <c r="JN38" s="14"/>
      <c r="JO38" s="14"/>
      <c r="JP38" s="14"/>
      <c r="JQ38" s="14"/>
      <c r="JR38" s="14"/>
      <c r="JS38" s="14"/>
      <c r="JT38" s="14"/>
      <c r="JU38" s="14"/>
      <c r="JV38" s="14"/>
      <c r="JW38" s="14"/>
      <c r="JX38" s="14"/>
      <c r="JY38" s="14"/>
      <c r="JZ38" s="14"/>
      <c r="KA38" s="14"/>
      <c r="KB38" s="14"/>
      <c r="KC38" s="14"/>
      <c r="KD38" s="14"/>
      <c r="KE38" s="14"/>
      <c r="KF38" s="14"/>
      <c r="KG38" s="14"/>
      <c r="KH38" s="14"/>
      <c r="KI38" s="14"/>
      <c r="KJ38" s="14"/>
      <c r="KK38" s="14"/>
      <c r="KL38" s="14"/>
      <c r="KM38" s="14"/>
      <c r="KN38" s="14"/>
      <c r="KO38" s="14"/>
      <c r="KP38" s="14"/>
      <c r="KQ38" s="14"/>
      <c r="KR38" s="14"/>
      <c r="KS38" s="14"/>
      <c r="KT38" s="14"/>
      <c r="KU38" s="14"/>
      <c r="KV38" s="14"/>
      <c r="KW38" s="14"/>
      <c r="KX38" s="14"/>
      <c r="KY38" s="14"/>
      <c r="KZ38" s="14"/>
      <c r="LA38" s="14"/>
      <c r="LB38" s="14"/>
      <c r="LC38" s="14"/>
      <c r="LD38" s="14"/>
      <c r="LE38" s="14"/>
      <c r="LF38" s="14"/>
      <c r="LG38" s="14"/>
      <c r="LH38" s="14"/>
      <c r="LI38" s="14"/>
      <c r="LJ38" s="14"/>
      <c r="LK38" s="14"/>
      <c r="LL38" s="14"/>
      <c r="LM38" s="14"/>
      <c r="LN38" s="14"/>
      <c r="LO38" s="14"/>
      <c r="LP38" s="14"/>
      <c r="LQ38" s="14"/>
      <c r="LR38" s="14"/>
      <c r="LS38" s="14"/>
      <c r="LT38" s="14"/>
      <c r="LU38" s="14"/>
      <c r="LV38" s="14"/>
      <c r="LW38" s="14"/>
      <c r="LX38" s="14"/>
      <c r="LY38" s="14"/>
      <c r="LZ38" s="14"/>
      <c r="MA38" s="14"/>
      <c r="MB38" s="14"/>
      <c r="MC38" s="14"/>
      <c r="MD38" s="14"/>
      <c r="ME38" s="14"/>
      <c r="MF38" s="14"/>
      <c r="MG38" s="14"/>
      <c r="MH38" s="14"/>
      <c r="MI38" s="14"/>
      <c r="MJ38" s="14"/>
      <c r="MK38" s="14"/>
      <c r="ML38" s="14"/>
      <c r="MM38" s="14"/>
      <c r="MN38" s="14"/>
      <c r="MO38" s="14"/>
      <c r="MP38" s="14"/>
      <c r="MQ38" s="14"/>
      <c r="MR38" s="14"/>
      <c r="MS38" s="14"/>
      <c r="MT38" s="14"/>
      <c r="MU38" s="14"/>
      <c r="MV38" s="14"/>
      <c r="MW38" s="14"/>
      <c r="MX38" s="14"/>
      <c r="MY38" s="14"/>
      <c r="MZ38" s="14"/>
      <c r="NA38" s="14"/>
      <c r="NB38" s="14"/>
      <c r="NC38" s="14"/>
      <c r="ND38" s="14"/>
      <c r="NE38" s="14"/>
      <c r="NF38" s="14"/>
      <c r="NG38" s="14"/>
      <c r="NH38" s="14"/>
      <c r="NI38" s="14"/>
      <c r="NJ38" s="14"/>
      <c r="NK38" s="14"/>
      <c r="NL38" s="14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</row>
    <row r="39" ht="13.5" customHeight="1">
      <c r="A39" s="2"/>
      <c r="B39" s="22"/>
      <c r="C39" s="2"/>
      <c r="D39" s="13"/>
      <c r="E39" s="3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  <c r="FX39" s="14"/>
      <c r="FY39" s="14"/>
      <c r="FZ39" s="14"/>
      <c r="GA39" s="14"/>
      <c r="GB39" s="14"/>
      <c r="GC39" s="14"/>
      <c r="GD39" s="14"/>
      <c r="GE39" s="14"/>
      <c r="GF39" s="14"/>
      <c r="GG39" s="14"/>
      <c r="GH39" s="14"/>
      <c r="GI39" s="14"/>
      <c r="GJ39" s="14"/>
      <c r="GK39" s="14"/>
      <c r="GL39" s="14"/>
      <c r="GM39" s="14"/>
      <c r="GN39" s="14"/>
      <c r="GO39" s="14"/>
      <c r="GP39" s="14"/>
      <c r="GQ39" s="14"/>
      <c r="GR39" s="14"/>
      <c r="GS39" s="14"/>
      <c r="GT39" s="14"/>
      <c r="GU39" s="14"/>
      <c r="GV39" s="14"/>
      <c r="GW39" s="14"/>
      <c r="GX39" s="14"/>
      <c r="GY39" s="14"/>
      <c r="GZ39" s="14"/>
      <c r="HA39" s="14"/>
      <c r="HB39" s="14"/>
      <c r="HC39" s="14"/>
      <c r="HD39" s="14"/>
      <c r="HE39" s="14"/>
      <c r="HF39" s="14"/>
      <c r="HG39" s="14"/>
      <c r="HH39" s="14"/>
      <c r="HI39" s="14"/>
      <c r="HJ39" s="14"/>
      <c r="HK39" s="14"/>
      <c r="HL39" s="14"/>
      <c r="HM39" s="14"/>
      <c r="HN39" s="14"/>
      <c r="HO39" s="14"/>
      <c r="HP39" s="14"/>
      <c r="HQ39" s="14"/>
      <c r="HR39" s="14"/>
      <c r="HS39" s="14"/>
      <c r="HT39" s="14"/>
      <c r="HU39" s="14"/>
      <c r="HV39" s="14"/>
      <c r="HW39" s="14"/>
      <c r="HX39" s="14"/>
      <c r="HY39" s="14"/>
      <c r="HZ39" s="14"/>
      <c r="IA39" s="14"/>
      <c r="IB39" s="14"/>
      <c r="IC39" s="14"/>
      <c r="ID39" s="14"/>
      <c r="IE39" s="14"/>
      <c r="IF39" s="14"/>
      <c r="IG39" s="14"/>
      <c r="IH39" s="14"/>
      <c r="II39" s="14"/>
      <c r="IJ39" s="14"/>
      <c r="IK39" s="14"/>
      <c r="IL39" s="14"/>
      <c r="IM39" s="14"/>
      <c r="IN39" s="14"/>
      <c r="IO39" s="14"/>
      <c r="IP39" s="14"/>
      <c r="IQ39" s="14"/>
      <c r="IR39" s="14"/>
      <c r="IS39" s="14"/>
      <c r="IT39" s="14"/>
      <c r="IU39" s="14"/>
      <c r="IV39" s="14"/>
      <c r="IW39" s="14"/>
      <c r="IX39" s="14"/>
      <c r="IY39" s="14"/>
      <c r="IZ39" s="14"/>
      <c r="JA39" s="14"/>
      <c r="JB39" s="14"/>
      <c r="JC39" s="14"/>
      <c r="JD39" s="14"/>
      <c r="JE39" s="14"/>
      <c r="JF39" s="14"/>
      <c r="JG39" s="14"/>
      <c r="JH39" s="14"/>
      <c r="JI39" s="14"/>
      <c r="JJ39" s="14"/>
      <c r="JK39" s="14"/>
      <c r="JL39" s="14"/>
      <c r="JM39" s="14"/>
      <c r="JN39" s="14"/>
      <c r="JO39" s="14"/>
      <c r="JP39" s="14"/>
      <c r="JQ39" s="14"/>
      <c r="JR39" s="14"/>
      <c r="JS39" s="14"/>
      <c r="JT39" s="14"/>
      <c r="JU39" s="14"/>
      <c r="JV39" s="14"/>
      <c r="JW39" s="14"/>
      <c r="JX39" s="14"/>
      <c r="JY39" s="14"/>
      <c r="JZ39" s="14"/>
      <c r="KA39" s="14"/>
      <c r="KB39" s="14"/>
      <c r="KC39" s="14"/>
      <c r="KD39" s="14"/>
      <c r="KE39" s="14"/>
      <c r="KF39" s="14"/>
      <c r="KG39" s="14"/>
      <c r="KH39" s="14"/>
      <c r="KI39" s="14"/>
      <c r="KJ39" s="14"/>
      <c r="KK39" s="14"/>
      <c r="KL39" s="14"/>
      <c r="KM39" s="14"/>
      <c r="KN39" s="14"/>
      <c r="KO39" s="14"/>
      <c r="KP39" s="14"/>
      <c r="KQ39" s="14"/>
      <c r="KR39" s="14"/>
      <c r="KS39" s="14"/>
      <c r="KT39" s="14"/>
      <c r="KU39" s="14"/>
      <c r="KV39" s="14"/>
      <c r="KW39" s="14"/>
      <c r="KX39" s="14"/>
      <c r="KY39" s="14"/>
      <c r="KZ39" s="14"/>
      <c r="LA39" s="14"/>
      <c r="LB39" s="14"/>
      <c r="LC39" s="14"/>
      <c r="LD39" s="14"/>
      <c r="LE39" s="14"/>
      <c r="LF39" s="14"/>
      <c r="LG39" s="14"/>
      <c r="LH39" s="14"/>
      <c r="LI39" s="14"/>
      <c r="LJ39" s="14"/>
      <c r="LK39" s="14"/>
      <c r="LL39" s="14"/>
      <c r="LM39" s="14"/>
      <c r="LN39" s="14"/>
      <c r="LO39" s="14"/>
      <c r="LP39" s="14"/>
      <c r="LQ39" s="14"/>
      <c r="LR39" s="14"/>
      <c r="LS39" s="14"/>
      <c r="LT39" s="14"/>
      <c r="LU39" s="14"/>
      <c r="LV39" s="14"/>
      <c r="LW39" s="14"/>
      <c r="LX39" s="14"/>
      <c r="LY39" s="14"/>
      <c r="LZ39" s="14"/>
      <c r="MA39" s="14"/>
      <c r="MB39" s="14"/>
      <c r="MC39" s="14"/>
      <c r="MD39" s="14"/>
      <c r="ME39" s="14"/>
      <c r="MF39" s="14"/>
      <c r="MG39" s="14"/>
      <c r="MH39" s="14"/>
      <c r="MI39" s="14"/>
      <c r="MJ39" s="14"/>
      <c r="MK39" s="14"/>
      <c r="ML39" s="14"/>
      <c r="MM39" s="14"/>
      <c r="MN39" s="14"/>
      <c r="MO39" s="14"/>
      <c r="MP39" s="14"/>
      <c r="MQ39" s="14"/>
      <c r="MR39" s="14"/>
      <c r="MS39" s="14"/>
      <c r="MT39" s="14"/>
      <c r="MU39" s="14"/>
      <c r="MV39" s="14"/>
      <c r="MW39" s="14"/>
      <c r="MX39" s="14"/>
      <c r="MY39" s="14"/>
      <c r="MZ39" s="14"/>
      <c r="NA39" s="14"/>
      <c r="NB39" s="14"/>
      <c r="NC39" s="14"/>
      <c r="ND39" s="14"/>
      <c r="NE39" s="14"/>
      <c r="NF39" s="14"/>
      <c r="NG39" s="14"/>
      <c r="NH39" s="14"/>
      <c r="NI39" s="14"/>
      <c r="NJ39" s="14"/>
      <c r="NK39" s="14"/>
      <c r="NL39" s="14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</row>
    <row r="40" ht="13.5" customHeight="1">
      <c r="A40" s="2"/>
      <c r="B40" s="22"/>
      <c r="C40" s="2"/>
      <c r="D40" s="13"/>
      <c r="E40" s="3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4"/>
      <c r="FJ40" s="14"/>
      <c r="FK40" s="14"/>
      <c r="FL40" s="14"/>
      <c r="FM40" s="14"/>
      <c r="FN40" s="14"/>
      <c r="FO40" s="14"/>
      <c r="FP40" s="14"/>
      <c r="FQ40" s="14"/>
      <c r="FR40" s="14"/>
      <c r="FS40" s="14"/>
      <c r="FT40" s="14"/>
      <c r="FU40" s="14"/>
      <c r="FV40" s="14"/>
      <c r="FW40" s="14"/>
      <c r="FX40" s="14"/>
      <c r="FY40" s="14"/>
      <c r="FZ40" s="14"/>
      <c r="GA40" s="14"/>
      <c r="GB40" s="14"/>
      <c r="GC40" s="14"/>
      <c r="GD40" s="14"/>
      <c r="GE40" s="14"/>
      <c r="GF40" s="14"/>
      <c r="GG40" s="14"/>
      <c r="GH40" s="14"/>
      <c r="GI40" s="14"/>
      <c r="GJ40" s="14"/>
      <c r="GK40" s="14"/>
      <c r="GL40" s="14"/>
      <c r="GM40" s="14"/>
      <c r="GN40" s="14"/>
      <c r="GO40" s="14"/>
      <c r="GP40" s="14"/>
      <c r="GQ40" s="14"/>
      <c r="GR40" s="14"/>
      <c r="GS40" s="14"/>
      <c r="GT40" s="14"/>
      <c r="GU40" s="14"/>
      <c r="GV40" s="14"/>
      <c r="GW40" s="14"/>
      <c r="GX40" s="14"/>
      <c r="GY40" s="14"/>
      <c r="GZ40" s="14"/>
      <c r="HA40" s="14"/>
      <c r="HB40" s="14"/>
      <c r="HC40" s="14"/>
      <c r="HD40" s="14"/>
      <c r="HE40" s="14"/>
      <c r="HF40" s="14"/>
      <c r="HG40" s="14"/>
      <c r="HH40" s="14"/>
      <c r="HI40" s="14"/>
      <c r="HJ40" s="14"/>
      <c r="HK40" s="14"/>
      <c r="HL40" s="14"/>
      <c r="HM40" s="14"/>
      <c r="HN40" s="14"/>
      <c r="HO40" s="14"/>
      <c r="HP40" s="14"/>
      <c r="HQ40" s="14"/>
      <c r="HR40" s="14"/>
      <c r="HS40" s="14"/>
      <c r="HT40" s="14"/>
      <c r="HU40" s="14"/>
      <c r="HV40" s="14"/>
      <c r="HW40" s="14"/>
      <c r="HX40" s="14"/>
      <c r="HY40" s="14"/>
      <c r="HZ40" s="14"/>
      <c r="IA40" s="14"/>
      <c r="IB40" s="14"/>
      <c r="IC40" s="14"/>
      <c r="ID40" s="14"/>
      <c r="IE40" s="14"/>
      <c r="IF40" s="14"/>
      <c r="IG40" s="14"/>
      <c r="IH40" s="14"/>
      <c r="II40" s="14"/>
      <c r="IJ40" s="14"/>
      <c r="IK40" s="14"/>
      <c r="IL40" s="14"/>
      <c r="IM40" s="14"/>
      <c r="IN40" s="14"/>
      <c r="IO40" s="14"/>
      <c r="IP40" s="14"/>
      <c r="IQ40" s="14"/>
      <c r="IR40" s="14"/>
      <c r="IS40" s="14"/>
      <c r="IT40" s="14"/>
      <c r="IU40" s="14"/>
      <c r="IV40" s="14"/>
      <c r="IW40" s="14"/>
      <c r="IX40" s="14"/>
      <c r="IY40" s="14"/>
      <c r="IZ40" s="14"/>
      <c r="JA40" s="14"/>
      <c r="JB40" s="14"/>
      <c r="JC40" s="14"/>
      <c r="JD40" s="14"/>
      <c r="JE40" s="14"/>
      <c r="JF40" s="14"/>
      <c r="JG40" s="14"/>
      <c r="JH40" s="14"/>
      <c r="JI40" s="14"/>
      <c r="JJ40" s="14"/>
      <c r="JK40" s="14"/>
      <c r="JL40" s="14"/>
      <c r="JM40" s="14"/>
      <c r="JN40" s="14"/>
      <c r="JO40" s="14"/>
      <c r="JP40" s="14"/>
      <c r="JQ40" s="14"/>
      <c r="JR40" s="14"/>
      <c r="JS40" s="14"/>
      <c r="JT40" s="14"/>
      <c r="JU40" s="14"/>
      <c r="JV40" s="14"/>
      <c r="JW40" s="14"/>
      <c r="JX40" s="14"/>
      <c r="JY40" s="14"/>
      <c r="JZ40" s="14"/>
      <c r="KA40" s="14"/>
      <c r="KB40" s="14"/>
      <c r="KC40" s="14"/>
      <c r="KD40" s="14"/>
      <c r="KE40" s="14"/>
      <c r="KF40" s="14"/>
      <c r="KG40" s="14"/>
      <c r="KH40" s="14"/>
      <c r="KI40" s="14"/>
      <c r="KJ40" s="14"/>
      <c r="KK40" s="14"/>
      <c r="KL40" s="14"/>
      <c r="KM40" s="14"/>
      <c r="KN40" s="14"/>
      <c r="KO40" s="14"/>
      <c r="KP40" s="14"/>
      <c r="KQ40" s="14"/>
      <c r="KR40" s="14"/>
      <c r="KS40" s="14"/>
      <c r="KT40" s="14"/>
      <c r="KU40" s="14"/>
      <c r="KV40" s="14"/>
      <c r="KW40" s="14"/>
      <c r="KX40" s="14"/>
      <c r="KY40" s="14"/>
      <c r="KZ40" s="14"/>
      <c r="LA40" s="14"/>
      <c r="LB40" s="14"/>
      <c r="LC40" s="14"/>
      <c r="LD40" s="14"/>
      <c r="LE40" s="14"/>
      <c r="LF40" s="14"/>
      <c r="LG40" s="14"/>
      <c r="LH40" s="14"/>
      <c r="LI40" s="14"/>
      <c r="LJ40" s="14"/>
      <c r="LK40" s="14"/>
      <c r="LL40" s="14"/>
      <c r="LM40" s="14"/>
      <c r="LN40" s="14"/>
      <c r="LO40" s="14"/>
      <c r="LP40" s="14"/>
      <c r="LQ40" s="14"/>
      <c r="LR40" s="14"/>
      <c r="LS40" s="14"/>
      <c r="LT40" s="14"/>
      <c r="LU40" s="14"/>
      <c r="LV40" s="14"/>
      <c r="LW40" s="14"/>
      <c r="LX40" s="14"/>
      <c r="LY40" s="14"/>
      <c r="LZ40" s="14"/>
      <c r="MA40" s="14"/>
      <c r="MB40" s="14"/>
      <c r="MC40" s="14"/>
      <c r="MD40" s="14"/>
      <c r="ME40" s="14"/>
      <c r="MF40" s="14"/>
      <c r="MG40" s="14"/>
      <c r="MH40" s="14"/>
      <c r="MI40" s="14"/>
      <c r="MJ40" s="14"/>
      <c r="MK40" s="14"/>
      <c r="ML40" s="14"/>
      <c r="MM40" s="14"/>
      <c r="MN40" s="14"/>
      <c r="MO40" s="14"/>
      <c r="MP40" s="14"/>
      <c r="MQ40" s="14"/>
      <c r="MR40" s="14"/>
      <c r="MS40" s="14"/>
      <c r="MT40" s="14"/>
      <c r="MU40" s="14"/>
      <c r="MV40" s="14"/>
      <c r="MW40" s="14"/>
      <c r="MX40" s="14"/>
      <c r="MY40" s="14"/>
      <c r="MZ40" s="14"/>
      <c r="NA40" s="14"/>
      <c r="NB40" s="14"/>
      <c r="NC40" s="14"/>
      <c r="ND40" s="14"/>
      <c r="NE40" s="14"/>
      <c r="NF40" s="14"/>
      <c r="NG40" s="14"/>
      <c r="NH40" s="14"/>
      <c r="NI40" s="14"/>
      <c r="NJ40" s="14"/>
      <c r="NK40" s="14"/>
      <c r="NL40" s="14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</row>
    <row r="41" ht="13.5" customHeight="1">
      <c r="A41" s="2"/>
      <c r="B41" s="22"/>
      <c r="C41" s="2"/>
      <c r="D41" s="13"/>
      <c r="E41" s="3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4"/>
      <c r="FJ41" s="14"/>
      <c r="FK41" s="14"/>
      <c r="FL41" s="14"/>
      <c r="FM41" s="14"/>
      <c r="FN41" s="14"/>
      <c r="FO41" s="14"/>
      <c r="FP41" s="14"/>
      <c r="FQ41" s="14"/>
      <c r="FR41" s="14"/>
      <c r="FS41" s="14"/>
      <c r="FT41" s="14"/>
      <c r="FU41" s="14"/>
      <c r="FV41" s="14"/>
      <c r="FW41" s="14"/>
      <c r="FX41" s="14"/>
      <c r="FY41" s="14"/>
      <c r="FZ41" s="14"/>
      <c r="GA41" s="14"/>
      <c r="GB41" s="14"/>
      <c r="GC41" s="14"/>
      <c r="GD41" s="14"/>
      <c r="GE41" s="14"/>
      <c r="GF41" s="14"/>
      <c r="GG41" s="14"/>
      <c r="GH41" s="14"/>
      <c r="GI41" s="14"/>
      <c r="GJ41" s="14"/>
      <c r="GK41" s="14"/>
      <c r="GL41" s="14"/>
      <c r="GM41" s="14"/>
      <c r="GN41" s="14"/>
      <c r="GO41" s="14"/>
      <c r="GP41" s="14"/>
      <c r="GQ41" s="14"/>
      <c r="GR41" s="14"/>
      <c r="GS41" s="14"/>
      <c r="GT41" s="14"/>
      <c r="GU41" s="14"/>
      <c r="GV41" s="14"/>
      <c r="GW41" s="14"/>
      <c r="GX41" s="14"/>
      <c r="GY41" s="14"/>
      <c r="GZ41" s="14"/>
      <c r="HA41" s="14"/>
      <c r="HB41" s="14"/>
      <c r="HC41" s="14"/>
      <c r="HD41" s="14"/>
      <c r="HE41" s="14"/>
      <c r="HF41" s="14"/>
      <c r="HG41" s="14"/>
      <c r="HH41" s="14"/>
      <c r="HI41" s="14"/>
      <c r="HJ41" s="14"/>
      <c r="HK41" s="14"/>
      <c r="HL41" s="14"/>
      <c r="HM41" s="14"/>
      <c r="HN41" s="14"/>
      <c r="HO41" s="14"/>
      <c r="HP41" s="14"/>
      <c r="HQ41" s="14"/>
      <c r="HR41" s="14"/>
      <c r="HS41" s="14"/>
      <c r="HT41" s="14"/>
      <c r="HU41" s="14"/>
      <c r="HV41" s="14"/>
      <c r="HW41" s="14"/>
      <c r="HX41" s="14"/>
      <c r="HY41" s="14"/>
      <c r="HZ41" s="14"/>
      <c r="IA41" s="14"/>
      <c r="IB41" s="14"/>
      <c r="IC41" s="14"/>
      <c r="ID41" s="14"/>
      <c r="IE41" s="14"/>
      <c r="IF41" s="14"/>
      <c r="IG41" s="14"/>
      <c r="IH41" s="14"/>
      <c r="II41" s="14"/>
      <c r="IJ41" s="14"/>
      <c r="IK41" s="14"/>
      <c r="IL41" s="14"/>
      <c r="IM41" s="14"/>
      <c r="IN41" s="14"/>
      <c r="IO41" s="14"/>
      <c r="IP41" s="14"/>
      <c r="IQ41" s="14"/>
      <c r="IR41" s="14"/>
      <c r="IS41" s="14"/>
      <c r="IT41" s="14"/>
      <c r="IU41" s="14"/>
      <c r="IV41" s="14"/>
      <c r="IW41" s="14"/>
      <c r="IX41" s="14"/>
      <c r="IY41" s="14"/>
      <c r="IZ41" s="14"/>
      <c r="JA41" s="14"/>
      <c r="JB41" s="14"/>
      <c r="JC41" s="14"/>
      <c r="JD41" s="14"/>
      <c r="JE41" s="14"/>
      <c r="JF41" s="14"/>
      <c r="JG41" s="14"/>
      <c r="JH41" s="14"/>
      <c r="JI41" s="14"/>
      <c r="JJ41" s="14"/>
      <c r="JK41" s="14"/>
      <c r="JL41" s="14"/>
      <c r="JM41" s="14"/>
      <c r="JN41" s="14"/>
      <c r="JO41" s="14"/>
      <c r="JP41" s="14"/>
      <c r="JQ41" s="14"/>
      <c r="JR41" s="14"/>
      <c r="JS41" s="14"/>
      <c r="JT41" s="14"/>
      <c r="JU41" s="14"/>
      <c r="JV41" s="14"/>
      <c r="JW41" s="14"/>
      <c r="JX41" s="14"/>
      <c r="JY41" s="14"/>
      <c r="JZ41" s="14"/>
      <c r="KA41" s="14"/>
      <c r="KB41" s="14"/>
      <c r="KC41" s="14"/>
      <c r="KD41" s="14"/>
      <c r="KE41" s="14"/>
      <c r="KF41" s="14"/>
      <c r="KG41" s="14"/>
      <c r="KH41" s="14"/>
      <c r="KI41" s="14"/>
      <c r="KJ41" s="14"/>
      <c r="KK41" s="14"/>
      <c r="KL41" s="14"/>
      <c r="KM41" s="14"/>
      <c r="KN41" s="14"/>
      <c r="KO41" s="14"/>
      <c r="KP41" s="14"/>
      <c r="KQ41" s="14"/>
      <c r="KR41" s="14"/>
      <c r="KS41" s="14"/>
      <c r="KT41" s="14"/>
      <c r="KU41" s="14"/>
      <c r="KV41" s="14"/>
      <c r="KW41" s="14"/>
      <c r="KX41" s="14"/>
      <c r="KY41" s="14"/>
      <c r="KZ41" s="14"/>
      <c r="LA41" s="14"/>
      <c r="LB41" s="14"/>
      <c r="LC41" s="14"/>
      <c r="LD41" s="14"/>
      <c r="LE41" s="14"/>
      <c r="LF41" s="14"/>
      <c r="LG41" s="14"/>
      <c r="LH41" s="14"/>
      <c r="LI41" s="14"/>
      <c r="LJ41" s="14"/>
      <c r="LK41" s="14"/>
      <c r="LL41" s="14"/>
      <c r="LM41" s="14"/>
      <c r="LN41" s="14"/>
      <c r="LO41" s="14"/>
      <c r="LP41" s="14"/>
      <c r="LQ41" s="14"/>
      <c r="LR41" s="14"/>
      <c r="LS41" s="14"/>
      <c r="LT41" s="14"/>
      <c r="LU41" s="14"/>
      <c r="LV41" s="14"/>
      <c r="LW41" s="14"/>
      <c r="LX41" s="14"/>
      <c r="LY41" s="14"/>
      <c r="LZ41" s="14"/>
      <c r="MA41" s="14"/>
      <c r="MB41" s="14"/>
      <c r="MC41" s="14"/>
      <c r="MD41" s="14"/>
      <c r="ME41" s="14"/>
      <c r="MF41" s="14"/>
      <c r="MG41" s="14"/>
      <c r="MH41" s="14"/>
      <c r="MI41" s="14"/>
      <c r="MJ41" s="14"/>
      <c r="MK41" s="14"/>
      <c r="ML41" s="14"/>
      <c r="MM41" s="14"/>
      <c r="MN41" s="14"/>
      <c r="MO41" s="14"/>
      <c r="MP41" s="14"/>
      <c r="MQ41" s="14"/>
      <c r="MR41" s="14"/>
      <c r="MS41" s="14"/>
      <c r="MT41" s="14"/>
      <c r="MU41" s="14"/>
      <c r="MV41" s="14"/>
      <c r="MW41" s="14"/>
      <c r="MX41" s="14"/>
      <c r="MY41" s="14"/>
      <c r="MZ41" s="14"/>
      <c r="NA41" s="14"/>
      <c r="NB41" s="14"/>
      <c r="NC41" s="14"/>
      <c r="ND41" s="14"/>
      <c r="NE41" s="14"/>
      <c r="NF41" s="14"/>
      <c r="NG41" s="14"/>
      <c r="NH41" s="14"/>
      <c r="NI41" s="14"/>
      <c r="NJ41" s="14"/>
      <c r="NK41" s="14"/>
      <c r="NL41" s="14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</row>
    <row r="42" ht="13.5" customHeight="1">
      <c r="A42" s="2"/>
      <c r="B42" s="22"/>
      <c r="C42" s="2"/>
      <c r="D42" s="13"/>
      <c r="E42" s="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4"/>
      <c r="FJ42" s="14"/>
      <c r="FK42" s="14"/>
      <c r="FL42" s="14"/>
      <c r="FM42" s="14"/>
      <c r="FN42" s="14"/>
      <c r="FO42" s="14"/>
      <c r="FP42" s="14"/>
      <c r="FQ42" s="14"/>
      <c r="FR42" s="14"/>
      <c r="FS42" s="14"/>
      <c r="FT42" s="14"/>
      <c r="FU42" s="14"/>
      <c r="FV42" s="14"/>
      <c r="FW42" s="14"/>
      <c r="FX42" s="14"/>
      <c r="FY42" s="14"/>
      <c r="FZ42" s="14"/>
      <c r="GA42" s="14"/>
      <c r="GB42" s="14"/>
      <c r="GC42" s="14"/>
      <c r="GD42" s="14"/>
      <c r="GE42" s="14"/>
      <c r="GF42" s="14"/>
      <c r="GG42" s="14"/>
      <c r="GH42" s="14"/>
      <c r="GI42" s="14"/>
      <c r="GJ42" s="14"/>
      <c r="GK42" s="14"/>
      <c r="GL42" s="14"/>
      <c r="GM42" s="14"/>
      <c r="GN42" s="14"/>
      <c r="GO42" s="14"/>
      <c r="GP42" s="14"/>
      <c r="GQ42" s="14"/>
      <c r="GR42" s="14"/>
      <c r="GS42" s="14"/>
      <c r="GT42" s="14"/>
      <c r="GU42" s="14"/>
      <c r="GV42" s="14"/>
      <c r="GW42" s="14"/>
      <c r="GX42" s="14"/>
      <c r="GY42" s="14"/>
      <c r="GZ42" s="14"/>
      <c r="HA42" s="14"/>
      <c r="HB42" s="14"/>
      <c r="HC42" s="14"/>
      <c r="HD42" s="14"/>
      <c r="HE42" s="14"/>
      <c r="HF42" s="14"/>
      <c r="HG42" s="14"/>
      <c r="HH42" s="14"/>
      <c r="HI42" s="14"/>
      <c r="HJ42" s="14"/>
      <c r="HK42" s="14"/>
      <c r="HL42" s="14"/>
      <c r="HM42" s="14"/>
      <c r="HN42" s="14"/>
      <c r="HO42" s="14"/>
      <c r="HP42" s="14"/>
      <c r="HQ42" s="14"/>
      <c r="HR42" s="14"/>
      <c r="HS42" s="14"/>
      <c r="HT42" s="14"/>
      <c r="HU42" s="14"/>
      <c r="HV42" s="14"/>
      <c r="HW42" s="14"/>
      <c r="HX42" s="14"/>
      <c r="HY42" s="14"/>
      <c r="HZ42" s="14"/>
      <c r="IA42" s="14"/>
      <c r="IB42" s="14"/>
      <c r="IC42" s="14"/>
      <c r="ID42" s="14"/>
      <c r="IE42" s="14"/>
      <c r="IF42" s="14"/>
      <c r="IG42" s="14"/>
      <c r="IH42" s="14"/>
      <c r="II42" s="14"/>
      <c r="IJ42" s="14"/>
      <c r="IK42" s="14"/>
      <c r="IL42" s="14"/>
      <c r="IM42" s="14"/>
      <c r="IN42" s="14"/>
      <c r="IO42" s="14"/>
      <c r="IP42" s="14"/>
      <c r="IQ42" s="14"/>
      <c r="IR42" s="14"/>
      <c r="IS42" s="14"/>
      <c r="IT42" s="14"/>
      <c r="IU42" s="14"/>
      <c r="IV42" s="14"/>
      <c r="IW42" s="14"/>
      <c r="IX42" s="14"/>
      <c r="IY42" s="14"/>
      <c r="IZ42" s="14"/>
      <c r="JA42" s="14"/>
      <c r="JB42" s="14"/>
      <c r="JC42" s="14"/>
      <c r="JD42" s="14"/>
      <c r="JE42" s="14"/>
      <c r="JF42" s="14"/>
      <c r="JG42" s="14"/>
      <c r="JH42" s="14"/>
      <c r="JI42" s="14"/>
      <c r="JJ42" s="14"/>
      <c r="JK42" s="14"/>
      <c r="JL42" s="14"/>
      <c r="JM42" s="14"/>
      <c r="JN42" s="14"/>
      <c r="JO42" s="14"/>
      <c r="JP42" s="14"/>
      <c r="JQ42" s="14"/>
      <c r="JR42" s="14"/>
      <c r="JS42" s="14"/>
      <c r="JT42" s="14"/>
      <c r="JU42" s="14"/>
      <c r="JV42" s="14"/>
      <c r="JW42" s="14"/>
      <c r="JX42" s="14"/>
      <c r="JY42" s="14"/>
      <c r="JZ42" s="14"/>
      <c r="KA42" s="14"/>
      <c r="KB42" s="14"/>
      <c r="KC42" s="14"/>
      <c r="KD42" s="14"/>
      <c r="KE42" s="14"/>
      <c r="KF42" s="14"/>
      <c r="KG42" s="14"/>
      <c r="KH42" s="14"/>
      <c r="KI42" s="14"/>
      <c r="KJ42" s="14"/>
      <c r="KK42" s="14"/>
      <c r="KL42" s="14"/>
      <c r="KM42" s="14"/>
      <c r="KN42" s="14"/>
      <c r="KO42" s="14"/>
      <c r="KP42" s="14"/>
      <c r="KQ42" s="14"/>
      <c r="KR42" s="14"/>
      <c r="KS42" s="14"/>
      <c r="KT42" s="14"/>
      <c r="KU42" s="14"/>
      <c r="KV42" s="14"/>
      <c r="KW42" s="14"/>
      <c r="KX42" s="14"/>
      <c r="KY42" s="14"/>
      <c r="KZ42" s="14"/>
      <c r="LA42" s="14"/>
      <c r="LB42" s="14"/>
      <c r="LC42" s="14"/>
      <c r="LD42" s="14"/>
      <c r="LE42" s="14"/>
      <c r="LF42" s="14"/>
      <c r="LG42" s="14"/>
      <c r="LH42" s="14"/>
      <c r="LI42" s="14"/>
      <c r="LJ42" s="14"/>
      <c r="LK42" s="14"/>
      <c r="LL42" s="14"/>
      <c r="LM42" s="14"/>
      <c r="LN42" s="14"/>
      <c r="LO42" s="14"/>
      <c r="LP42" s="14"/>
      <c r="LQ42" s="14"/>
      <c r="LR42" s="14"/>
      <c r="LS42" s="14"/>
      <c r="LT42" s="14"/>
      <c r="LU42" s="14"/>
      <c r="LV42" s="14"/>
      <c r="LW42" s="14"/>
      <c r="LX42" s="14"/>
      <c r="LY42" s="14"/>
      <c r="LZ42" s="14"/>
      <c r="MA42" s="14"/>
      <c r="MB42" s="14"/>
      <c r="MC42" s="14"/>
      <c r="MD42" s="14"/>
      <c r="ME42" s="14"/>
      <c r="MF42" s="14"/>
      <c r="MG42" s="14"/>
      <c r="MH42" s="14"/>
      <c r="MI42" s="14"/>
      <c r="MJ42" s="14"/>
      <c r="MK42" s="14"/>
      <c r="ML42" s="14"/>
      <c r="MM42" s="14"/>
      <c r="MN42" s="14"/>
      <c r="MO42" s="14"/>
      <c r="MP42" s="14"/>
      <c r="MQ42" s="14"/>
      <c r="MR42" s="14"/>
      <c r="MS42" s="14"/>
      <c r="MT42" s="14"/>
      <c r="MU42" s="14"/>
      <c r="MV42" s="14"/>
      <c r="MW42" s="14"/>
      <c r="MX42" s="14"/>
      <c r="MY42" s="14"/>
      <c r="MZ42" s="14"/>
      <c r="NA42" s="14"/>
      <c r="NB42" s="14"/>
      <c r="NC42" s="14"/>
      <c r="ND42" s="14"/>
      <c r="NE42" s="14"/>
      <c r="NF42" s="14"/>
      <c r="NG42" s="14"/>
      <c r="NH42" s="14"/>
      <c r="NI42" s="14"/>
      <c r="NJ42" s="14"/>
      <c r="NK42" s="14"/>
      <c r="NL42" s="14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</row>
    <row r="43" ht="13.5" customHeight="1">
      <c r="A43" s="2"/>
      <c r="B43" s="22"/>
      <c r="C43" s="2"/>
      <c r="D43" s="13"/>
      <c r="E43" s="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4"/>
      <c r="FJ43" s="14"/>
      <c r="FK43" s="14"/>
      <c r="FL43" s="14"/>
      <c r="FM43" s="14"/>
      <c r="FN43" s="14"/>
      <c r="FO43" s="14"/>
      <c r="FP43" s="14"/>
      <c r="FQ43" s="14"/>
      <c r="FR43" s="14"/>
      <c r="FS43" s="14"/>
      <c r="FT43" s="14"/>
      <c r="FU43" s="14"/>
      <c r="FV43" s="14"/>
      <c r="FW43" s="14"/>
      <c r="FX43" s="14"/>
      <c r="FY43" s="14"/>
      <c r="FZ43" s="14"/>
      <c r="GA43" s="14"/>
      <c r="GB43" s="14"/>
      <c r="GC43" s="14"/>
      <c r="GD43" s="14"/>
      <c r="GE43" s="14"/>
      <c r="GF43" s="14"/>
      <c r="GG43" s="14"/>
      <c r="GH43" s="14"/>
      <c r="GI43" s="14"/>
      <c r="GJ43" s="14"/>
      <c r="GK43" s="14"/>
      <c r="GL43" s="14"/>
      <c r="GM43" s="14"/>
      <c r="GN43" s="14"/>
      <c r="GO43" s="14"/>
      <c r="GP43" s="14"/>
      <c r="GQ43" s="14"/>
      <c r="GR43" s="14"/>
      <c r="GS43" s="14"/>
      <c r="GT43" s="14"/>
      <c r="GU43" s="14"/>
      <c r="GV43" s="14"/>
      <c r="GW43" s="14"/>
      <c r="GX43" s="14"/>
      <c r="GY43" s="14"/>
      <c r="GZ43" s="14"/>
      <c r="HA43" s="14"/>
      <c r="HB43" s="14"/>
      <c r="HC43" s="14"/>
      <c r="HD43" s="14"/>
      <c r="HE43" s="14"/>
      <c r="HF43" s="14"/>
      <c r="HG43" s="14"/>
      <c r="HH43" s="14"/>
      <c r="HI43" s="14"/>
      <c r="HJ43" s="14"/>
      <c r="HK43" s="14"/>
      <c r="HL43" s="14"/>
      <c r="HM43" s="14"/>
      <c r="HN43" s="14"/>
      <c r="HO43" s="14"/>
      <c r="HP43" s="14"/>
      <c r="HQ43" s="14"/>
      <c r="HR43" s="14"/>
      <c r="HS43" s="14"/>
      <c r="HT43" s="14"/>
      <c r="HU43" s="14"/>
      <c r="HV43" s="14"/>
      <c r="HW43" s="14"/>
      <c r="HX43" s="14"/>
      <c r="HY43" s="14"/>
      <c r="HZ43" s="14"/>
      <c r="IA43" s="14"/>
      <c r="IB43" s="14"/>
      <c r="IC43" s="14"/>
      <c r="ID43" s="14"/>
      <c r="IE43" s="14"/>
      <c r="IF43" s="14"/>
      <c r="IG43" s="14"/>
      <c r="IH43" s="14"/>
      <c r="II43" s="14"/>
      <c r="IJ43" s="14"/>
      <c r="IK43" s="14"/>
      <c r="IL43" s="14"/>
      <c r="IM43" s="14"/>
      <c r="IN43" s="14"/>
      <c r="IO43" s="14"/>
      <c r="IP43" s="14"/>
      <c r="IQ43" s="14"/>
      <c r="IR43" s="14"/>
      <c r="IS43" s="14"/>
      <c r="IT43" s="14"/>
      <c r="IU43" s="14"/>
      <c r="IV43" s="14"/>
      <c r="IW43" s="14"/>
      <c r="IX43" s="14"/>
      <c r="IY43" s="14"/>
      <c r="IZ43" s="14"/>
      <c r="JA43" s="14"/>
      <c r="JB43" s="14"/>
      <c r="JC43" s="14"/>
      <c r="JD43" s="14"/>
      <c r="JE43" s="14"/>
      <c r="JF43" s="14"/>
      <c r="JG43" s="14"/>
      <c r="JH43" s="14"/>
      <c r="JI43" s="14"/>
      <c r="JJ43" s="14"/>
      <c r="JK43" s="14"/>
      <c r="JL43" s="14"/>
      <c r="JM43" s="14"/>
      <c r="JN43" s="14"/>
      <c r="JO43" s="14"/>
      <c r="JP43" s="14"/>
      <c r="JQ43" s="14"/>
      <c r="JR43" s="14"/>
      <c r="JS43" s="14"/>
      <c r="JT43" s="14"/>
      <c r="JU43" s="14"/>
      <c r="JV43" s="14"/>
      <c r="JW43" s="14"/>
      <c r="JX43" s="14"/>
      <c r="JY43" s="14"/>
      <c r="JZ43" s="14"/>
      <c r="KA43" s="14"/>
      <c r="KB43" s="14"/>
      <c r="KC43" s="14"/>
      <c r="KD43" s="14"/>
      <c r="KE43" s="14"/>
      <c r="KF43" s="14"/>
      <c r="KG43" s="14"/>
      <c r="KH43" s="14"/>
      <c r="KI43" s="14"/>
      <c r="KJ43" s="14"/>
      <c r="KK43" s="14"/>
      <c r="KL43" s="14"/>
      <c r="KM43" s="14"/>
      <c r="KN43" s="14"/>
      <c r="KO43" s="14"/>
      <c r="KP43" s="14"/>
      <c r="KQ43" s="14"/>
      <c r="KR43" s="14"/>
      <c r="KS43" s="14"/>
      <c r="KT43" s="14"/>
      <c r="KU43" s="14"/>
      <c r="KV43" s="14"/>
      <c r="KW43" s="14"/>
      <c r="KX43" s="14"/>
      <c r="KY43" s="14"/>
      <c r="KZ43" s="14"/>
      <c r="LA43" s="14"/>
      <c r="LB43" s="14"/>
      <c r="LC43" s="14"/>
      <c r="LD43" s="14"/>
      <c r="LE43" s="14"/>
      <c r="LF43" s="14"/>
      <c r="LG43" s="14"/>
      <c r="LH43" s="14"/>
      <c r="LI43" s="14"/>
      <c r="LJ43" s="14"/>
      <c r="LK43" s="14"/>
      <c r="LL43" s="14"/>
      <c r="LM43" s="14"/>
      <c r="LN43" s="14"/>
      <c r="LO43" s="14"/>
      <c r="LP43" s="14"/>
      <c r="LQ43" s="14"/>
      <c r="LR43" s="14"/>
      <c r="LS43" s="14"/>
      <c r="LT43" s="14"/>
      <c r="LU43" s="14"/>
      <c r="LV43" s="14"/>
      <c r="LW43" s="14"/>
      <c r="LX43" s="14"/>
      <c r="LY43" s="14"/>
      <c r="LZ43" s="14"/>
      <c r="MA43" s="14"/>
      <c r="MB43" s="14"/>
      <c r="MC43" s="14"/>
      <c r="MD43" s="14"/>
      <c r="ME43" s="14"/>
      <c r="MF43" s="14"/>
      <c r="MG43" s="14"/>
      <c r="MH43" s="14"/>
      <c r="MI43" s="14"/>
      <c r="MJ43" s="14"/>
      <c r="MK43" s="14"/>
      <c r="ML43" s="14"/>
      <c r="MM43" s="14"/>
      <c r="MN43" s="14"/>
      <c r="MO43" s="14"/>
      <c r="MP43" s="14"/>
      <c r="MQ43" s="14"/>
      <c r="MR43" s="14"/>
      <c r="MS43" s="14"/>
      <c r="MT43" s="14"/>
      <c r="MU43" s="14"/>
      <c r="MV43" s="14"/>
      <c r="MW43" s="14"/>
      <c r="MX43" s="14"/>
      <c r="MY43" s="14"/>
      <c r="MZ43" s="14"/>
      <c r="NA43" s="14"/>
      <c r="NB43" s="14"/>
      <c r="NC43" s="14"/>
      <c r="ND43" s="14"/>
      <c r="NE43" s="14"/>
      <c r="NF43" s="14"/>
      <c r="NG43" s="14"/>
      <c r="NH43" s="14"/>
      <c r="NI43" s="14"/>
      <c r="NJ43" s="14"/>
      <c r="NK43" s="14"/>
      <c r="NL43" s="14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</row>
    <row r="44" ht="13.5" customHeight="1">
      <c r="A44" s="2"/>
      <c r="B44" s="22"/>
      <c r="C44" s="2"/>
      <c r="D44" s="13"/>
      <c r="E44" s="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4"/>
      <c r="FJ44" s="14"/>
      <c r="FK44" s="14"/>
      <c r="FL44" s="14"/>
      <c r="FM44" s="14"/>
      <c r="FN44" s="14"/>
      <c r="FO44" s="14"/>
      <c r="FP44" s="14"/>
      <c r="FQ44" s="14"/>
      <c r="FR44" s="14"/>
      <c r="FS44" s="14"/>
      <c r="FT44" s="14"/>
      <c r="FU44" s="14"/>
      <c r="FV44" s="14"/>
      <c r="FW44" s="14"/>
      <c r="FX44" s="14"/>
      <c r="FY44" s="14"/>
      <c r="FZ44" s="14"/>
      <c r="GA44" s="14"/>
      <c r="GB44" s="14"/>
      <c r="GC44" s="14"/>
      <c r="GD44" s="14"/>
      <c r="GE44" s="14"/>
      <c r="GF44" s="14"/>
      <c r="GG44" s="14"/>
      <c r="GH44" s="14"/>
      <c r="GI44" s="14"/>
      <c r="GJ44" s="14"/>
      <c r="GK44" s="14"/>
      <c r="GL44" s="14"/>
      <c r="GM44" s="14"/>
      <c r="GN44" s="14"/>
      <c r="GO44" s="14"/>
      <c r="GP44" s="14"/>
      <c r="GQ44" s="14"/>
      <c r="GR44" s="14"/>
      <c r="GS44" s="14"/>
      <c r="GT44" s="14"/>
      <c r="GU44" s="14"/>
      <c r="GV44" s="14"/>
      <c r="GW44" s="14"/>
      <c r="GX44" s="14"/>
      <c r="GY44" s="14"/>
      <c r="GZ44" s="14"/>
      <c r="HA44" s="14"/>
      <c r="HB44" s="14"/>
      <c r="HC44" s="14"/>
      <c r="HD44" s="14"/>
      <c r="HE44" s="14"/>
      <c r="HF44" s="14"/>
      <c r="HG44" s="14"/>
      <c r="HH44" s="14"/>
      <c r="HI44" s="14"/>
      <c r="HJ44" s="14"/>
      <c r="HK44" s="14"/>
      <c r="HL44" s="14"/>
      <c r="HM44" s="14"/>
      <c r="HN44" s="14"/>
      <c r="HO44" s="14"/>
      <c r="HP44" s="14"/>
      <c r="HQ44" s="14"/>
      <c r="HR44" s="14"/>
      <c r="HS44" s="14"/>
      <c r="HT44" s="14"/>
      <c r="HU44" s="14"/>
      <c r="HV44" s="14"/>
      <c r="HW44" s="14"/>
      <c r="HX44" s="14"/>
      <c r="HY44" s="14"/>
      <c r="HZ44" s="14"/>
      <c r="IA44" s="14"/>
      <c r="IB44" s="14"/>
      <c r="IC44" s="14"/>
      <c r="ID44" s="14"/>
      <c r="IE44" s="14"/>
      <c r="IF44" s="14"/>
      <c r="IG44" s="14"/>
      <c r="IH44" s="14"/>
      <c r="II44" s="14"/>
      <c r="IJ44" s="14"/>
      <c r="IK44" s="14"/>
      <c r="IL44" s="14"/>
      <c r="IM44" s="14"/>
      <c r="IN44" s="14"/>
      <c r="IO44" s="14"/>
      <c r="IP44" s="14"/>
      <c r="IQ44" s="14"/>
      <c r="IR44" s="14"/>
      <c r="IS44" s="14"/>
      <c r="IT44" s="14"/>
      <c r="IU44" s="14"/>
      <c r="IV44" s="14"/>
      <c r="IW44" s="14"/>
      <c r="IX44" s="14"/>
      <c r="IY44" s="14"/>
      <c r="IZ44" s="14"/>
      <c r="JA44" s="14"/>
      <c r="JB44" s="14"/>
      <c r="JC44" s="14"/>
      <c r="JD44" s="14"/>
      <c r="JE44" s="14"/>
      <c r="JF44" s="14"/>
      <c r="JG44" s="14"/>
      <c r="JH44" s="14"/>
      <c r="JI44" s="14"/>
      <c r="JJ44" s="14"/>
      <c r="JK44" s="14"/>
      <c r="JL44" s="14"/>
      <c r="JM44" s="14"/>
      <c r="JN44" s="14"/>
      <c r="JO44" s="14"/>
      <c r="JP44" s="14"/>
      <c r="JQ44" s="14"/>
      <c r="JR44" s="14"/>
      <c r="JS44" s="14"/>
      <c r="JT44" s="14"/>
      <c r="JU44" s="14"/>
      <c r="JV44" s="14"/>
      <c r="JW44" s="14"/>
      <c r="JX44" s="14"/>
      <c r="JY44" s="14"/>
      <c r="JZ44" s="14"/>
      <c r="KA44" s="14"/>
      <c r="KB44" s="14"/>
      <c r="KC44" s="14"/>
      <c r="KD44" s="14"/>
      <c r="KE44" s="14"/>
      <c r="KF44" s="14"/>
      <c r="KG44" s="14"/>
      <c r="KH44" s="14"/>
      <c r="KI44" s="14"/>
      <c r="KJ44" s="14"/>
      <c r="KK44" s="14"/>
      <c r="KL44" s="14"/>
      <c r="KM44" s="14"/>
      <c r="KN44" s="14"/>
      <c r="KO44" s="14"/>
      <c r="KP44" s="14"/>
      <c r="KQ44" s="14"/>
      <c r="KR44" s="14"/>
      <c r="KS44" s="14"/>
      <c r="KT44" s="14"/>
      <c r="KU44" s="14"/>
      <c r="KV44" s="14"/>
      <c r="KW44" s="14"/>
      <c r="KX44" s="14"/>
      <c r="KY44" s="14"/>
      <c r="KZ44" s="14"/>
      <c r="LA44" s="14"/>
      <c r="LB44" s="14"/>
      <c r="LC44" s="14"/>
      <c r="LD44" s="14"/>
      <c r="LE44" s="14"/>
      <c r="LF44" s="14"/>
      <c r="LG44" s="14"/>
      <c r="LH44" s="14"/>
      <c r="LI44" s="14"/>
      <c r="LJ44" s="14"/>
      <c r="LK44" s="14"/>
      <c r="LL44" s="14"/>
      <c r="LM44" s="14"/>
      <c r="LN44" s="14"/>
      <c r="LO44" s="14"/>
      <c r="LP44" s="14"/>
      <c r="LQ44" s="14"/>
      <c r="LR44" s="14"/>
      <c r="LS44" s="14"/>
      <c r="LT44" s="14"/>
      <c r="LU44" s="14"/>
      <c r="LV44" s="14"/>
      <c r="LW44" s="14"/>
      <c r="LX44" s="14"/>
      <c r="LY44" s="14"/>
      <c r="LZ44" s="14"/>
      <c r="MA44" s="14"/>
      <c r="MB44" s="14"/>
      <c r="MC44" s="14"/>
      <c r="MD44" s="14"/>
      <c r="ME44" s="14"/>
      <c r="MF44" s="14"/>
      <c r="MG44" s="14"/>
      <c r="MH44" s="14"/>
      <c r="MI44" s="14"/>
      <c r="MJ44" s="14"/>
      <c r="MK44" s="14"/>
      <c r="ML44" s="14"/>
      <c r="MM44" s="14"/>
      <c r="MN44" s="14"/>
      <c r="MO44" s="14"/>
      <c r="MP44" s="14"/>
      <c r="MQ44" s="14"/>
      <c r="MR44" s="14"/>
      <c r="MS44" s="14"/>
      <c r="MT44" s="14"/>
      <c r="MU44" s="14"/>
      <c r="MV44" s="14"/>
      <c r="MW44" s="14"/>
      <c r="MX44" s="14"/>
      <c r="MY44" s="14"/>
      <c r="MZ44" s="14"/>
      <c r="NA44" s="14"/>
      <c r="NB44" s="14"/>
      <c r="NC44" s="14"/>
      <c r="ND44" s="14"/>
      <c r="NE44" s="14"/>
      <c r="NF44" s="14"/>
      <c r="NG44" s="14"/>
      <c r="NH44" s="14"/>
      <c r="NI44" s="14"/>
      <c r="NJ44" s="14"/>
      <c r="NK44" s="14"/>
      <c r="NL44" s="14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</row>
    <row r="45" ht="13.5" customHeight="1">
      <c r="A45" s="2"/>
      <c r="B45" s="22"/>
      <c r="C45" s="2"/>
      <c r="D45" s="13"/>
      <c r="E45" s="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  <c r="FX45" s="14"/>
      <c r="FY45" s="14"/>
      <c r="FZ45" s="14"/>
      <c r="GA45" s="14"/>
      <c r="GB45" s="14"/>
      <c r="GC45" s="14"/>
      <c r="GD45" s="14"/>
      <c r="GE45" s="14"/>
      <c r="GF45" s="14"/>
      <c r="GG45" s="14"/>
      <c r="GH45" s="14"/>
      <c r="GI45" s="14"/>
      <c r="GJ45" s="14"/>
      <c r="GK45" s="14"/>
      <c r="GL45" s="14"/>
      <c r="GM45" s="14"/>
      <c r="GN45" s="14"/>
      <c r="GO45" s="14"/>
      <c r="GP45" s="14"/>
      <c r="GQ45" s="14"/>
      <c r="GR45" s="14"/>
      <c r="GS45" s="14"/>
      <c r="GT45" s="14"/>
      <c r="GU45" s="14"/>
      <c r="GV45" s="14"/>
      <c r="GW45" s="14"/>
      <c r="GX45" s="14"/>
      <c r="GY45" s="14"/>
      <c r="GZ45" s="14"/>
      <c r="HA45" s="14"/>
      <c r="HB45" s="14"/>
      <c r="HC45" s="14"/>
      <c r="HD45" s="14"/>
      <c r="HE45" s="14"/>
      <c r="HF45" s="14"/>
      <c r="HG45" s="14"/>
      <c r="HH45" s="14"/>
      <c r="HI45" s="14"/>
      <c r="HJ45" s="14"/>
      <c r="HK45" s="14"/>
      <c r="HL45" s="14"/>
      <c r="HM45" s="14"/>
      <c r="HN45" s="14"/>
      <c r="HO45" s="14"/>
      <c r="HP45" s="14"/>
      <c r="HQ45" s="14"/>
      <c r="HR45" s="14"/>
      <c r="HS45" s="14"/>
      <c r="HT45" s="14"/>
      <c r="HU45" s="14"/>
      <c r="HV45" s="14"/>
      <c r="HW45" s="14"/>
      <c r="HX45" s="14"/>
      <c r="HY45" s="14"/>
      <c r="HZ45" s="14"/>
      <c r="IA45" s="14"/>
      <c r="IB45" s="14"/>
      <c r="IC45" s="14"/>
      <c r="ID45" s="14"/>
      <c r="IE45" s="14"/>
      <c r="IF45" s="14"/>
      <c r="IG45" s="14"/>
      <c r="IH45" s="14"/>
      <c r="II45" s="14"/>
      <c r="IJ45" s="14"/>
      <c r="IK45" s="14"/>
      <c r="IL45" s="14"/>
      <c r="IM45" s="14"/>
      <c r="IN45" s="14"/>
      <c r="IO45" s="14"/>
      <c r="IP45" s="14"/>
      <c r="IQ45" s="14"/>
      <c r="IR45" s="14"/>
      <c r="IS45" s="14"/>
      <c r="IT45" s="14"/>
      <c r="IU45" s="14"/>
      <c r="IV45" s="14"/>
      <c r="IW45" s="14"/>
      <c r="IX45" s="14"/>
      <c r="IY45" s="14"/>
      <c r="IZ45" s="14"/>
      <c r="JA45" s="14"/>
      <c r="JB45" s="14"/>
      <c r="JC45" s="14"/>
      <c r="JD45" s="14"/>
      <c r="JE45" s="14"/>
      <c r="JF45" s="14"/>
      <c r="JG45" s="14"/>
      <c r="JH45" s="14"/>
      <c r="JI45" s="14"/>
      <c r="JJ45" s="14"/>
      <c r="JK45" s="14"/>
      <c r="JL45" s="14"/>
      <c r="JM45" s="14"/>
      <c r="JN45" s="14"/>
      <c r="JO45" s="14"/>
      <c r="JP45" s="14"/>
      <c r="JQ45" s="14"/>
      <c r="JR45" s="14"/>
      <c r="JS45" s="14"/>
      <c r="JT45" s="14"/>
      <c r="JU45" s="14"/>
      <c r="JV45" s="14"/>
      <c r="JW45" s="14"/>
      <c r="JX45" s="14"/>
      <c r="JY45" s="14"/>
      <c r="JZ45" s="14"/>
      <c r="KA45" s="14"/>
      <c r="KB45" s="14"/>
      <c r="KC45" s="14"/>
      <c r="KD45" s="14"/>
      <c r="KE45" s="14"/>
      <c r="KF45" s="14"/>
      <c r="KG45" s="14"/>
      <c r="KH45" s="14"/>
      <c r="KI45" s="14"/>
      <c r="KJ45" s="14"/>
      <c r="KK45" s="14"/>
      <c r="KL45" s="14"/>
      <c r="KM45" s="14"/>
      <c r="KN45" s="14"/>
      <c r="KO45" s="14"/>
      <c r="KP45" s="14"/>
      <c r="KQ45" s="14"/>
      <c r="KR45" s="14"/>
      <c r="KS45" s="14"/>
      <c r="KT45" s="14"/>
      <c r="KU45" s="14"/>
      <c r="KV45" s="14"/>
      <c r="KW45" s="14"/>
      <c r="KX45" s="14"/>
      <c r="KY45" s="14"/>
      <c r="KZ45" s="14"/>
      <c r="LA45" s="14"/>
      <c r="LB45" s="14"/>
      <c r="LC45" s="14"/>
      <c r="LD45" s="14"/>
      <c r="LE45" s="14"/>
      <c r="LF45" s="14"/>
      <c r="LG45" s="14"/>
      <c r="LH45" s="14"/>
      <c r="LI45" s="14"/>
      <c r="LJ45" s="14"/>
      <c r="LK45" s="14"/>
      <c r="LL45" s="14"/>
      <c r="LM45" s="14"/>
      <c r="LN45" s="14"/>
      <c r="LO45" s="14"/>
      <c r="LP45" s="14"/>
      <c r="LQ45" s="14"/>
      <c r="LR45" s="14"/>
      <c r="LS45" s="14"/>
      <c r="LT45" s="14"/>
      <c r="LU45" s="14"/>
      <c r="LV45" s="14"/>
      <c r="LW45" s="14"/>
      <c r="LX45" s="14"/>
      <c r="LY45" s="14"/>
      <c r="LZ45" s="14"/>
      <c r="MA45" s="14"/>
      <c r="MB45" s="14"/>
      <c r="MC45" s="14"/>
      <c r="MD45" s="14"/>
      <c r="ME45" s="14"/>
      <c r="MF45" s="14"/>
      <c r="MG45" s="14"/>
      <c r="MH45" s="14"/>
      <c r="MI45" s="14"/>
      <c r="MJ45" s="14"/>
      <c r="MK45" s="14"/>
      <c r="ML45" s="14"/>
      <c r="MM45" s="14"/>
      <c r="MN45" s="14"/>
      <c r="MO45" s="14"/>
      <c r="MP45" s="14"/>
      <c r="MQ45" s="14"/>
      <c r="MR45" s="14"/>
      <c r="MS45" s="14"/>
      <c r="MT45" s="14"/>
      <c r="MU45" s="14"/>
      <c r="MV45" s="14"/>
      <c r="MW45" s="14"/>
      <c r="MX45" s="14"/>
      <c r="MY45" s="14"/>
      <c r="MZ45" s="14"/>
      <c r="NA45" s="14"/>
      <c r="NB45" s="14"/>
      <c r="NC45" s="14"/>
      <c r="ND45" s="14"/>
      <c r="NE45" s="14"/>
      <c r="NF45" s="14"/>
      <c r="NG45" s="14"/>
      <c r="NH45" s="14"/>
      <c r="NI45" s="14"/>
      <c r="NJ45" s="14"/>
      <c r="NK45" s="14"/>
      <c r="NL45" s="14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</row>
    <row r="46" ht="13.5" customHeight="1">
      <c r="A46" s="2"/>
      <c r="B46" s="22"/>
      <c r="C46" s="2"/>
      <c r="D46" s="13"/>
      <c r="E46" s="3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  <c r="HY46" s="14"/>
      <c r="HZ46" s="14"/>
      <c r="IA46" s="14"/>
      <c r="IB46" s="14"/>
      <c r="IC46" s="14"/>
      <c r="ID46" s="14"/>
      <c r="IE46" s="14"/>
      <c r="IF46" s="14"/>
      <c r="IG46" s="14"/>
      <c r="IH46" s="14"/>
      <c r="II46" s="14"/>
      <c r="IJ46" s="14"/>
      <c r="IK46" s="14"/>
      <c r="IL46" s="14"/>
      <c r="IM46" s="14"/>
      <c r="IN46" s="14"/>
      <c r="IO46" s="14"/>
      <c r="IP46" s="14"/>
      <c r="IQ46" s="14"/>
      <c r="IR46" s="14"/>
      <c r="IS46" s="14"/>
      <c r="IT46" s="14"/>
      <c r="IU46" s="14"/>
      <c r="IV46" s="14"/>
      <c r="IW46" s="14"/>
      <c r="IX46" s="14"/>
      <c r="IY46" s="14"/>
      <c r="IZ46" s="14"/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/>
      <c r="JM46" s="14"/>
      <c r="JN46" s="14"/>
      <c r="JO46" s="14"/>
      <c r="JP46" s="14"/>
      <c r="JQ46" s="14"/>
      <c r="JR46" s="14"/>
      <c r="JS46" s="14"/>
      <c r="JT46" s="14"/>
      <c r="JU46" s="14"/>
      <c r="JV46" s="14"/>
      <c r="JW46" s="14"/>
      <c r="JX46" s="14"/>
      <c r="JY46" s="14"/>
      <c r="JZ46" s="14"/>
      <c r="KA46" s="14"/>
      <c r="KB46" s="14"/>
      <c r="KC46" s="14"/>
      <c r="KD46" s="14"/>
      <c r="KE46" s="14"/>
      <c r="KF46" s="14"/>
      <c r="KG46" s="14"/>
      <c r="KH46" s="14"/>
      <c r="KI46" s="14"/>
      <c r="KJ46" s="14"/>
      <c r="KK46" s="14"/>
      <c r="KL46" s="14"/>
      <c r="KM46" s="14"/>
      <c r="KN46" s="14"/>
      <c r="KO46" s="14"/>
      <c r="KP46" s="14"/>
      <c r="KQ46" s="14"/>
      <c r="KR46" s="14"/>
      <c r="KS46" s="14"/>
      <c r="KT46" s="14"/>
      <c r="KU46" s="14"/>
      <c r="KV46" s="14"/>
      <c r="KW46" s="14"/>
      <c r="KX46" s="14"/>
      <c r="KY46" s="14"/>
      <c r="KZ46" s="14"/>
      <c r="LA46" s="14"/>
      <c r="LB46" s="14"/>
      <c r="LC46" s="14"/>
      <c r="LD46" s="14"/>
      <c r="LE46" s="14"/>
      <c r="LF46" s="14"/>
      <c r="LG46" s="14"/>
      <c r="LH46" s="14"/>
      <c r="LI46" s="14"/>
      <c r="LJ46" s="14"/>
      <c r="LK46" s="14"/>
      <c r="LL46" s="14"/>
      <c r="LM46" s="14"/>
      <c r="LN46" s="14"/>
      <c r="LO46" s="14"/>
      <c r="LP46" s="14"/>
      <c r="LQ46" s="14"/>
      <c r="LR46" s="14"/>
      <c r="LS46" s="14"/>
      <c r="LT46" s="14"/>
      <c r="LU46" s="14"/>
      <c r="LV46" s="14"/>
      <c r="LW46" s="14"/>
      <c r="LX46" s="14"/>
      <c r="LY46" s="14"/>
      <c r="LZ46" s="14"/>
      <c r="MA46" s="14"/>
      <c r="MB46" s="14"/>
      <c r="MC46" s="14"/>
      <c r="MD46" s="14"/>
      <c r="ME46" s="14"/>
      <c r="MF46" s="14"/>
      <c r="MG46" s="14"/>
      <c r="MH46" s="14"/>
      <c r="MI46" s="14"/>
      <c r="MJ46" s="14"/>
      <c r="MK46" s="14"/>
      <c r="ML46" s="14"/>
      <c r="MM46" s="14"/>
      <c r="MN46" s="14"/>
      <c r="MO46" s="14"/>
      <c r="MP46" s="14"/>
      <c r="MQ46" s="14"/>
      <c r="MR46" s="14"/>
      <c r="MS46" s="14"/>
      <c r="MT46" s="14"/>
      <c r="MU46" s="14"/>
      <c r="MV46" s="14"/>
      <c r="MW46" s="14"/>
      <c r="MX46" s="14"/>
      <c r="MY46" s="14"/>
      <c r="MZ46" s="14"/>
      <c r="NA46" s="14"/>
      <c r="NB46" s="14"/>
      <c r="NC46" s="14"/>
      <c r="ND46" s="14"/>
      <c r="NE46" s="14"/>
      <c r="NF46" s="14"/>
      <c r="NG46" s="14"/>
      <c r="NH46" s="14"/>
      <c r="NI46" s="14"/>
      <c r="NJ46" s="14"/>
      <c r="NK46" s="14"/>
      <c r="NL46" s="14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</row>
    <row r="47" ht="13.5" customHeight="1">
      <c r="A47" s="2"/>
      <c r="B47" s="22"/>
      <c r="C47" s="2"/>
      <c r="D47" s="13"/>
      <c r="E47" s="3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4"/>
      <c r="GW47" s="14"/>
      <c r="GX47" s="14"/>
      <c r="GY47" s="14"/>
      <c r="GZ47" s="14"/>
      <c r="HA47" s="14"/>
      <c r="HB47" s="14"/>
      <c r="HC47" s="14"/>
      <c r="HD47" s="14"/>
      <c r="HE47" s="14"/>
      <c r="HF47" s="14"/>
      <c r="HG47" s="14"/>
      <c r="HH47" s="14"/>
      <c r="HI47" s="14"/>
      <c r="HJ47" s="14"/>
      <c r="HK47" s="14"/>
      <c r="HL47" s="14"/>
      <c r="HM47" s="14"/>
      <c r="HN47" s="14"/>
      <c r="HO47" s="14"/>
      <c r="HP47" s="14"/>
      <c r="HQ47" s="14"/>
      <c r="HR47" s="14"/>
      <c r="HS47" s="14"/>
      <c r="HT47" s="14"/>
      <c r="HU47" s="14"/>
      <c r="HV47" s="14"/>
      <c r="HW47" s="14"/>
      <c r="HX47" s="14"/>
      <c r="HY47" s="14"/>
      <c r="HZ47" s="14"/>
      <c r="IA47" s="14"/>
      <c r="IB47" s="14"/>
      <c r="IC47" s="14"/>
      <c r="ID47" s="14"/>
      <c r="IE47" s="14"/>
      <c r="IF47" s="14"/>
      <c r="IG47" s="14"/>
      <c r="IH47" s="14"/>
      <c r="II47" s="14"/>
      <c r="IJ47" s="14"/>
      <c r="IK47" s="14"/>
      <c r="IL47" s="14"/>
      <c r="IM47" s="14"/>
      <c r="IN47" s="14"/>
      <c r="IO47" s="14"/>
      <c r="IP47" s="14"/>
      <c r="IQ47" s="14"/>
      <c r="IR47" s="14"/>
      <c r="IS47" s="14"/>
      <c r="IT47" s="14"/>
      <c r="IU47" s="14"/>
      <c r="IV47" s="14"/>
      <c r="IW47" s="14"/>
      <c r="IX47" s="14"/>
      <c r="IY47" s="14"/>
      <c r="IZ47" s="14"/>
      <c r="JA47" s="14"/>
      <c r="JB47" s="14"/>
      <c r="JC47" s="14"/>
      <c r="JD47" s="14"/>
      <c r="JE47" s="14"/>
      <c r="JF47" s="14"/>
      <c r="JG47" s="14"/>
      <c r="JH47" s="14"/>
      <c r="JI47" s="14"/>
      <c r="JJ47" s="14"/>
      <c r="JK47" s="14"/>
      <c r="JL47" s="14"/>
      <c r="JM47" s="14"/>
      <c r="JN47" s="14"/>
      <c r="JO47" s="14"/>
      <c r="JP47" s="14"/>
      <c r="JQ47" s="14"/>
      <c r="JR47" s="14"/>
      <c r="JS47" s="14"/>
      <c r="JT47" s="14"/>
      <c r="JU47" s="14"/>
      <c r="JV47" s="14"/>
      <c r="JW47" s="14"/>
      <c r="JX47" s="14"/>
      <c r="JY47" s="14"/>
      <c r="JZ47" s="14"/>
      <c r="KA47" s="14"/>
      <c r="KB47" s="14"/>
      <c r="KC47" s="14"/>
      <c r="KD47" s="14"/>
      <c r="KE47" s="14"/>
      <c r="KF47" s="14"/>
      <c r="KG47" s="14"/>
      <c r="KH47" s="14"/>
      <c r="KI47" s="14"/>
      <c r="KJ47" s="14"/>
      <c r="KK47" s="14"/>
      <c r="KL47" s="14"/>
      <c r="KM47" s="14"/>
      <c r="KN47" s="14"/>
      <c r="KO47" s="14"/>
      <c r="KP47" s="14"/>
      <c r="KQ47" s="14"/>
      <c r="KR47" s="14"/>
      <c r="KS47" s="14"/>
      <c r="KT47" s="14"/>
      <c r="KU47" s="14"/>
      <c r="KV47" s="14"/>
      <c r="KW47" s="14"/>
      <c r="KX47" s="14"/>
      <c r="KY47" s="14"/>
      <c r="KZ47" s="14"/>
      <c r="LA47" s="14"/>
      <c r="LB47" s="14"/>
      <c r="LC47" s="14"/>
      <c r="LD47" s="14"/>
      <c r="LE47" s="14"/>
      <c r="LF47" s="14"/>
      <c r="LG47" s="14"/>
      <c r="LH47" s="14"/>
      <c r="LI47" s="14"/>
      <c r="LJ47" s="14"/>
      <c r="LK47" s="14"/>
      <c r="LL47" s="14"/>
      <c r="LM47" s="14"/>
      <c r="LN47" s="14"/>
      <c r="LO47" s="14"/>
      <c r="LP47" s="14"/>
      <c r="LQ47" s="14"/>
      <c r="LR47" s="14"/>
      <c r="LS47" s="14"/>
      <c r="LT47" s="14"/>
      <c r="LU47" s="14"/>
      <c r="LV47" s="14"/>
      <c r="LW47" s="14"/>
      <c r="LX47" s="14"/>
      <c r="LY47" s="14"/>
      <c r="LZ47" s="14"/>
      <c r="MA47" s="14"/>
      <c r="MB47" s="14"/>
      <c r="MC47" s="14"/>
      <c r="MD47" s="14"/>
      <c r="ME47" s="14"/>
      <c r="MF47" s="14"/>
      <c r="MG47" s="14"/>
      <c r="MH47" s="14"/>
      <c r="MI47" s="14"/>
      <c r="MJ47" s="14"/>
      <c r="MK47" s="14"/>
      <c r="ML47" s="14"/>
      <c r="MM47" s="14"/>
      <c r="MN47" s="14"/>
      <c r="MO47" s="14"/>
      <c r="MP47" s="14"/>
      <c r="MQ47" s="14"/>
      <c r="MR47" s="14"/>
      <c r="MS47" s="14"/>
      <c r="MT47" s="14"/>
      <c r="MU47" s="14"/>
      <c r="MV47" s="14"/>
      <c r="MW47" s="14"/>
      <c r="MX47" s="14"/>
      <c r="MY47" s="14"/>
      <c r="MZ47" s="14"/>
      <c r="NA47" s="14"/>
      <c r="NB47" s="14"/>
      <c r="NC47" s="14"/>
      <c r="ND47" s="14"/>
      <c r="NE47" s="14"/>
      <c r="NF47" s="14"/>
      <c r="NG47" s="14"/>
      <c r="NH47" s="14"/>
      <c r="NI47" s="14"/>
      <c r="NJ47" s="14"/>
      <c r="NK47" s="14"/>
      <c r="NL47" s="14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</row>
    <row r="48" ht="13.5" customHeight="1">
      <c r="A48" s="2"/>
      <c r="B48" s="22"/>
      <c r="C48" s="2"/>
      <c r="D48" s="13"/>
      <c r="E48" s="3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4"/>
      <c r="FJ48" s="14"/>
      <c r="FK48" s="14"/>
      <c r="FL48" s="14"/>
      <c r="FM48" s="14"/>
      <c r="FN48" s="14"/>
      <c r="FO48" s="14"/>
      <c r="FP48" s="14"/>
      <c r="FQ48" s="14"/>
      <c r="FR48" s="14"/>
      <c r="FS48" s="14"/>
      <c r="FT48" s="14"/>
      <c r="FU48" s="14"/>
      <c r="FV48" s="14"/>
      <c r="FW48" s="14"/>
      <c r="FX48" s="14"/>
      <c r="FY48" s="14"/>
      <c r="FZ48" s="14"/>
      <c r="GA48" s="14"/>
      <c r="GB48" s="14"/>
      <c r="GC48" s="14"/>
      <c r="GD48" s="14"/>
      <c r="GE48" s="14"/>
      <c r="GF48" s="14"/>
      <c r="GG48" s="14"/>
      <c r="GH48" s="14"/>
      <c r="GI48" s="14"/>
      <c r="GJ48" s="14"/>
      <c r="GK48" s="14"/>
      <c r="GL48" s="14"/>
      <c r="GM48" s="14"/>
      <c r="GN48" s="14"/>
      <c r="GO48" s="14"/>
      <c r="GP48" s="14"/>
      <c r="GQ48" s="14"/>
      <c r="GR48" s="14"/>
      <c r="GS48" s="14"/>
      <c r="GT48" s="14"/>
      <c r="GU48" s="14"/>
      <c r="GV48" s="14"/>
      <c r="GW48" s="14"/>
      <c r="GX48" s="14"/>
      <c r="GY48" s="14"/>
      <c r="GZ48" s="14"/>
      <c r="HA48" s="14"/>
      <c r="HB48" s="14"/>
      <c r="HC48" s="14"/>
      <c r="HD48" s="14"/>
      <c r="HE48" s="14"/>
      <c r="HF48" s="14"/>
      <c r="HG48" s="14"/>
      <c r="HH48" s="14"/>
      <c r="HI48" s="14"/>
      <c r="HJ48" s="14"/>
      <c r="HK48" s="14"/>
      <c r="HL48" s="14"/>
      <c r="HM48" s="14"/>
      <c r="HN48" s="14"/>
      <c r="HO48" s="14"/>
      <c r="HP48" s="14"/>
      <c r="HQ48" s="14"/>
      <c r="HR48" s="14"/>
      <c r="HS48" s="14"/>
      <c r="HT48" s="14"/>
      <c r="HU48" s="14"/>
      <c r="HV48" s="14"/>
      <c r="HW48" s="14"/>
      <c r="HX48" s="14"/>
      <c r="HY48" s="14"/>
      <c r="HZ48" s="14"/>
      <c r="IA48" s="14"/>
      <c r="IB48" s="14"/>
      <c r="IC48" s="14"/>
      <c r="ID48" s="14"/>
      <c r="IE48" s="14"/>
      <c r="IF48" s="14"/>
      <c r="IG48" s="14"/>
      <c r="IH48" s="14"/>
      <c r="II48" s="14"/>
      <c r="IJ48" s="14"/>
      <c r="IK48" s="14"/>
      <c r="IL48" s="14"/>
      <c r="IM48" s="14"/>
      <c r="IN48" s="14"/>
      <c r="IO48" s="14"/>
      <c r="IP48" s="14"/>
      <c r="IQ48" s="14"/>
      <c r="IR48" s="14"/>
      <c r="IS48" s="14"/>
      <c r="IT48" s="14"/>
      <c r="IU48" s="14"/>
      <c r="IV48" s="14"/>
      <c r="IW48" s="14"/>
      <c r="IX48" s="14"/>
      <c r="IY48" s="14"/>
      <c r="IZ48" s="14"/>
      <c r="JA48" s="14"/>
      <c r="JB48" s="14"/>
      <c r="JC48" s="14"/>
      <c r="JD48" s="14"/>
      <c r="JE48" s="14"/>
      <c r="JF48" s="14"/>
      <c r="JG48" s="14"/>
      <c r="JH48" s="14"/>
      <c r="JI48" s="14"/>
      <c r="JJ48" s="14"/>
      <c r="JK48" s="14"/>
      <c r="JL48" s="14"/>
      <c r="JM48" s="14"/>
      <c r="JN48" s="14"/>
      <c r="JO48" s="14"/>
      <c r="JP48" s="14"/>
      <c r="JQ48" s="14"/>
      <c r="JR48" s="14"/>
      <c r="JS48" s="14"/>
      <c r="JT48" s="14"/>
      <c r="JU48" s="14"/>
      <c r="JV48" s="14"/>
      <c r="JW48" s="14"/>
      <c r="JX48" s="14"/>
      <c r="JY48" s="14"/>
      <c r="JZ48" s="14"/>
      <c r="KA48" s="14"/>
      <c r="KB48" s="14"/>
      <c r="KC48" s="14"/>
      <c r="KD48" s="14"/>
      <c r="KE48" s="14"/>
      <c r="KF48" s="14"/>
      <c r="KG48" s="14"/>
      <c r="KH48" s="14"/>
      <c r="KI48" s="14"/>
      <c r="KJ48" s="14"/>
      <c r="KK48" s="14"/>
      <c r="KL48" s="14"/>
      <c r="KM48" s="14"/>
      <c r="KN48" s="14"/>
      <c r="KO48" s="14"/>
      <c r="KP48" s="14"/>
      <c r="KQ48" s="14"/>
      <c r="KR48" s="14"/>
      <c r="KS48" s="14"/>
      <c r="KT48" s="14"/>
      <c r="KU48" s="14"/>
      <c r="KV48" s="14"/>
      <c r="KW48" s="14"/>
      <c r="KX48" s="14"/>
      <c r="KY48" s="14"/>
      <c r="KZ48" s="14"/>
      <c r="LA48" s="14"/>
      <c r="LB48" s="14"/>
      <c r="LC48" s="14"/>
      <c r="LD48" s="14"/>
      <c r="LE48" s="14"/>
      <c r="LF48" s="14"/>
      <c r="LG48" s="14"/>
      <c r="LH48" s="14"/>
      <c r="LI48" s="14"/>
      <c r="LJ48" s="14"/>
      <c r="LK48" s="14"/>
      <c r="LL48" s="14"/>
      <c r="LM48" s="14"/>
      <c r="LN48" s="14"/>
      <c r="LO48" s="14"/>
      <c r="LP48" s="14"/>
      <c r="LQ48" s="14"/>
      <c r="LR48" s="14"/>
      <c r="LS48" s="14"/>
      <c r="LT48" s="14"/>
      <c r="LU48" s="14"/>
      <c r="LV48" s="14"/>
      <c r="LW48" s="14"/>
      <c r="LX48" s="14"/>
      <c r="LY48" s="14"/>
      <c r="LZ48" s="14"/>
      <c r="MA48" s="14"/>
      <c r="MB48" s="14"/>
      <c r="MC48" s="14"/>
      <c r="MD48" s="14"/>
      <c r="ME48" s="14"/>
      <c r="MF48" s="14"/>
      <c r="MG48" s="14"/>
      <c r="MH48" s="14"/>
      <c r="MI48" s="14"/>
      <c r="MJ48" s="14"/>
      <c r="MK48" s="14"/>
      <c r="ML48" s="14"/>
      <c r="MM48" s="14"/>
      <c r="MN48" s="14"/>
      <c r="MO48" s="14"/>
      <c r="MP48" s="14"/>
      <c r="MQ48" s="14"/>
      <c r="MR48" s="14"/>
      <c r="MS48" s="14"/>
      <c r="MT48" s="14"/>
      <c r="MU48" s="14"/>
      <c r="MV48" s="14"/>
      <c r="MW48" s="14"/>
      <c r="MX48" s="14"/>
      <c r="MY48" s="14"/>
      <c r="MZ48" s="14"/>
      <c r="NA48" s="14"/>
      <c r="NB48" s="14"/>
      <c r="NC48" s="14"/>
      <c r="ND48" s="14"/>
      <c r="NE48" s="14"/>
      <c r="NF48" s="14"/>
      <c r="NG48" s="14"/>
      <c r="NH48" s="14"/>
      <c r="NI48" s="14"/>
      <c r="NJ48" s="14"/>
      <c r="NK48" s="14"/>
      <c r="NL48" s="14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</row>
    <row r="49" ht="13.5" customHeight="1">
      <c r="A49" s="2"/>
      <c r="B49" s="22"/>
      <c r="C49" s="2"/>
      <c r="D49" s="13"/>
      <c r="E49" s="3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4"/>
      <c r="FJ49" s="14"/>
      <c r="FK49" s="14"/>
      <c r="FL49" s="14"/>
      <c r="FM49" s="14"/>
      <c r="FN49" s="14"/>
      <c r="FO49" s="14"/>
      <c r="FP49" s="14"/>
      <c r="FQ49" s="14"/>
      <c r="FR49" s="14"/>
      <c r="FS49" s="14"/>
      <c r="FT49" s="14"/>
      <c r="FU49" s="14"/>
      <c r="FV49" s="14"/>
      <c r="FW49" s="14"/>
      <c r="FX49" s="14"/>
      <c r="FY49" s="14"/>
      <c r="FZ49" s="14"/>
      <c r="GA49" s="14"/>
      <c r="GB49" s="14"/>
      <c r="GC49" s="14"/>
      <c r="GD49" s="14"/>
      <c r="GE49" s="14"/>
      <c r="GF49" s="14"/>
      <c r="GG49" s="14"/>
      <c r="GH49" s="14"/>
      <c r="GI49" s="14"/>
      <c r="GJ49" s="14"/>
      <c r="GK49" s="14"/>
      <c r="GL49" s="14"/>
      <c r="GM49" s="14"/>
      <c r="GN49" s="14"/>
      <c r="GO49" s="14"/>
      <c r="GP49" s="14"/>
      <c r="GQ49" s="14"/>
      <c r="GR49" s="14"/>
      <c r="GS49" s="14"/>
      <c r="GT49" s="14"/>
      <c r="GU49" s="14"/>
      <c r="GV49" s="14"/>
      <c r="GW49" s="14"/>
      <c r="GX49" s="14"/>
      <c r="GY49" s="14"/>
      <c r="GZ49" s="14"/>
      <c r="HA49" s="14"/>
      <c r="HB49" s="14"/>
      <c r="HC49" s="14"/>
      <c r="HD49" s="14"/>
      <c r="HE49" s="14"/>
      <c r="HF49" s="14"/>
      <c r="HG49" s="14"/>
      <c r="HH49" s="14"/>
      <c r="HI49" s="14"/>
      <c r="HJ49" s="14"/>
      <c r="HK49" s="14"/>
      <c r="HL49" s="14"/>
      <c r="HM49" s="14"/>
      <c r="HN49" s="14"/>
      <c r="HO49" s="14"/>
      <c r="HP49" s="14"/>
      <c r="HQ49" s="14"/>
      <c r="HR49" s="14"/>
      <c r="HS49" s="14"/>
      <c r="HT49" s="14"/>
      <c r="HU49" s="14"/>
      <c r="HV49" s="14"/>
      <c r="HW49" s="14"/>
      <c r="HX49" s="14"/>
      <c r="HY49" s="14"/>
      <c r="HZ49" s="14"/>
      <c r="IA49" s="14"/>
      <c r="IB49" s="14"/>
      <c r="IC49" s="14"/>
      <c r="ID49" s="14"/>
      <c r="IE49" s="14"/>
      <c r="IF49" s="14"/>
      <c r="IG49" s="14"/>
      <c r="IH49" s="14"/>
      <c r="II49" s="14"/>
      <c r="IJ49" s="14"/>
      <c r="IK49" s="14"/>
      <c r="IL49" s="14"/>
      <c r="IM49" s="14"/>
      <c r="IN49" s="14"/>
      <c r="IO49" s="14"/>
      <c r="IP49" s="14"/>
      <c r="IQ49" s="14"/>
      <c r="IR49" s="14"/>
      <c r="IS49" s="14"/>
      <c r="IT49" s="14"/>
      <c r="IU49" s="14"/>
      <c r="IV49" s="14"/>
      <c r="IW49" s="14"/>
      <c r="IX49" s="14"/>
      <c r="IY49" s="14"/>
      <c r="IZ49" s="14"/>
      <c r="JA49" s="14"/>
      <c r="JB49" s="14"/>
      <c r="JC49" s="14"/>
      <c r="JD49" s="14"/>
      <c r="JE49" s="14"/>
      <c r="JF49" s="14"/>
      <c r="JG49" s="14"/>
      <c r="JH49" s="14"/>
      <c r="JI49" s="14"/>
      <c r="JJ49" s="14"/>
      <c r="JK49" s="14"/>
      <c r="JL49" s="14"/>
      <c r="JM49" s="14"/>
      <c r="JN49" s="14"/>
      <c r="JO49" s="14"/>
      <c r="JP49" s="14"/>
      <c r="JQ49" s="14"/>
      <c r="JR49" s="14"/>
      <c r="JS49" s="14"/>
      <c r="JT49" s="14"/>
      <c r="JU49" s="14"/>
      <c r="JV49" s="14"/>
      <c r="JW49" s="14"/>
      <c r="JX49" s="14"/>
      <c r="JY49" s="14"/>
      <c r="JZ49" s="14"/>
      <c r="KA49" s="14"/>
      <c r="KB49" s="14"/>
      <c r="KC49" s="14"/>
      <c r="KD49" s="14"/>
      <c r="KE49" s="14"/>
      <c r="KF49" s="14"/>
      <c r="KG49" s="14"/>
      <c r="KH49" s="14"/>
      <c r="KI49" s="14"/>
      <c r="KJ49" s="14"/>
      <c r="KK49" s="14"/>
      <c r="KL49" s="14"/>
      <c r="KM49" s="14"/>
      <c r="KN49" s="14"/>
      <c r="KO49" s="14"/>
      <c r="KP49" s="14"/>
      <c r="KQ49" s="14"/>
      <c r="KR49" s="14"/>
      <c r="KS49" s="14"/>
      <c r="KT49" s="14"/>
      <c r="KU49" s="14"/>
      <c r="KV49" s="14"/>
      <c r="KW49" s="14"/>
      <c r="KX49" s="14"/>
      <c r="KY49" s="14"/>
      <c r="KZ49" s="14"/>
      <c r="LA49" s="14"/>
      <c r="LB49" s="14"/>
      <c r="LC49" s="14"/>
      <c r="LD49" s="14"/>
      <c r="LE49" s="14"/>
      <c r="LF49" s="14"/>
      <c r="LG49" s="14"/>
      <c r="LH49" s="14"/>
      <c r="LI49" s="14"/>
      <c r="LJ49" s="14"/>
      <c r="LK49" s="14"/>
      <c r="LL49" s="14"/>
      <c r="LM49" s="14"/>
      <c r="LN49" s="14"/>
      <c r="LO49" s="14"/>
      <c r="LP49" s="14"/>
      <c r="LQ49" s="14"/>
      <c r="LR49" s="14"/>
      <c r="LS49" s="14"/>
      <c r="LT49" s="14"/>
      <c r="LU49" s="14"/>
      <c r="LV49" s="14"/>
      <c r="LW49" s="14"/>
      <c r="LX49" s="14"/>
      <c r="LY49" s="14"/>
      <c r="LZ49" s="14"/>
      <c r="MA49" s="14"/>
      <c r="MB49" s="14"/>
      <c r="MC49" s="14"/>
      <c r="MD49" s="14"/>
      <c r="ME49" s="14"/>
      <c r="MF49" s="14"/>
      <c r="MG49" s="14"/>
      <c r="MH49" s="14"/>
      <c r="MI49" s="14"/>
      <c r="MJ49" s="14"/>
      <c r="MK49" s="14"/>
      <c r="ML49" s="14"/>
      <c r="MM49" s="14"/>
      <c r="MN49" s="14"/>
      <c r="MO49" s="14"/>
      <c r="MP49" s="14"/>
      <c r="MQ49" s="14"/>
      <c r="MR49" s="14"/>
      <c r="MS49" s="14"/>
      <c r="MT49" s="14"/>
      <c r="MU49" s="14"/>
      <c r="MV49" s="14"/>
      <c r="MW49" s="14"/>
      <c r="MX49" s="14"/>
      <c r="MY49" s="14"/>
      <c r="MZ49" s="14"/>
      <c r="NA49" s="14"/>
      <c r="NB49" s="14"/>
      <c r="NC49" s="14"/>
      <c r="ND49" s="14"/>
      <c r="NE49" s="14"/>
      <c r="NF49" s="14"/>
      <c r="NG49" s="14"/>
      <c r="NH49" s="14"/>
      <c r="NI49" s="14"/>
      <c r="NJ49" s="14"/>
      <c r="NK49" s="14"/>
      <c r="NL49" s="14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</row>
    <row r="50" ht="13.5" customHeight="1">
      <c r="A50" s="2"/>
      <c r="B50" s="22"/>
      <c r="C50" s="2"/>
      <c r="D50" s="13"/>
      <c r="E50" s="3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4"/>
      <c r="FJ50" s="14"/>
      <c r="FK50" s="14"/>
      <c r="FL50" s="14"/>
      <c r="FM50" s="14"/>
      <c r="FN50" s="14"/>
      <c r="FO50" s="14"/>
      <c r="FP50" s="14"/>
      <c r="FQ50" s="14"/>
      <c r="FR50" s="14"/>
      <c r="FS50" s="14"/>
      <c r="FT50" s="14"/>
      <c r="FU50" s="14"/>
      <c r="FV50" s="14"/>
      <c r="FW50" s="14"/>
      <c r="FX50" s="14"/>
      <c r="FY50" s="14"/>
      <c r="FZ50" s="14"/>
      <c r="GA50" s="14"/>
      <c r="GB50" s="14"/>
      <c r="GC50" s="14"/>
      <c r="GD50" s="14"/>
      <c r="GE50" s="14"/>
      <c r="GF50" s="14"/>
      <c r="GG50" s="14"/>
      <c r="GH50" s="14"/>
      <c r="GI50" s="14"/>
      <c r="GJ50" s="14"/>
      <c r="GK50" s="14"/>
      <c r="GL50" s="14"/>
      <c r="GM50" s="14"/>
      <c r="GN50" s="14"/>
      <c r="GO50" s="14"/>
      <c r="GP50" s="14"/>
      <c r="GQ50" s="14"/>
      <c r="GR50" s="14"/>
      <c r="GS50" s="14"/>
      <c r="GT50" s="14"/>
      <c r="GU50" s="14"/>
      <c r="GV50" s="14"/>
      <c r="GW50" s="14"/>
      <c r="GX50" s="14"/>
      <c r="GY50" s="14"/>
      <c r="GZ50" s="14"/>
      <c r="HA50" s="14"/>
      <c r="HB50" s="14"/>
      <c r="HC50" s="14"/>
      <c r="HD50" s="14"/>
      <c r="HE50" s="14"/>
      <c r="HF50" s="14"/>
      <c r="HG50" s="14"/>
      <c r="HH50" s="14"/>
      <c r="HI50" s="14"/>
      <c r="HJ50" s="14"/>
      <c r="HK50" s="14"/>
      <c r="HL50" s="14"/>
      <c r="HM50" s="14"/>
      <c r="HN50" s="14"/>
      <c r="HO50" s="14"/>
      <c r="HP50" s="14"/>
      <c r="HQ50" s="14"/>
      <c r="HR50" s="14"/>
      <c r="HS50" s="14"/>
      <c r="HT50" s="14"/>
      <c r="HU50" s="14"/>
      <c r="HV50" s="14"/>
      <c r="HW50" s="14"/>
      <c r="HX50" s="14"/>
      <c r="HY50" s="14"/>
      <c r="HZ50" s="14"/>
      <c r="IA50" s="14"/>
      <c r="IB50" s="14"/>
      <c r="IC50" s="14"/>
      <c r="ID50" s="14"/>
      <c r="IE50" s="14"/>
      <c r="IF50" s="14"/>
      <c r="IG50" s="14"/>
      <c r="IH50" s="14"/>
      <c r="II50" s="14"/>
      <c r="IJ50" s="14"/>
      <c r="IK50" s="14"/>
      <c r="IL50" s="14"/>
      <c r="IM50" s="14"/>
      <c r="IN50" s="14"/>
      <c r="IO50" s="14"/>
      <c r="IP50" s="14"/>
      <c r="IQ50" s="14"/>
      <c r="IR50" s="14"/>
      <c r="IS50" s="14"/>
      <c r="IT50" s="14"/>
      <c r="IU50" s="14"/>
      <c r="IV50" s="14"/>
      <c r="IW50" s="14"/>
      <c r="IX50" s="14"/>
      <c r="IY50" s="14"/>
      <c r="IZ50" s="14"/>
      <c r="JA50" s="14"/>
      <c r="JB50" s="14"/>
      <c r="JC50" s="14"/>
      <c r="JD50" s="14"/>
      <c r="JE50" s="14"/>
      <c r="JF50" s="14"/>
      <c r="JG50" s="14"/>
      <c r="JH50" s="14"/>
      <c r="JI50" s="14"/>
      <c r="JJ50" s="14"/>
      <c r="JK50" s="14"/>
      <c r="JL50" s="14"/>
      <c r="JM50" s="14"/>
      <c r="JN50" s="14"/>
      <c r="JO50" s="14"/>
      <c r="JP50" s="14"/>
      <c r="JQ50" s="14"/>
      <c r="JR50" s="14"/>
      <c r="JS50" s="14"/>
      <c r="JT50" s="14"/>
      <c r="JU50" s="14"/>
      <c r="JV50" s="14"/>
      <c r="JW50" s="14"/>
      <c r="JX50" s="14"/>
      <c r="JY50" s="14"/>
      <c r="JZ50" s="14"/>
      <c r="KA50" s="14"/>
      <c r="KB50" s="14"/>
      <c r="KC50" s="14"/>
      <c r="KD50" s="14"/>
      <c r="KE50" s="14"/>
      <c r="KF50" s="14"/>
      <c r="KG50" s="14"/>
      <c r="KH50" s="14"/>
      <c r="KI50" s="14"/>
      <c r="KJ50" s="14"/>
      <c r="KK50" s="14"/>
      <c r="KL50" s="14"/>
      <c r="KM50" s="14"/>
      <c r="KN50" s="14"/>
      <c r="KO50" s="14"/>
      <c r="KP50" s="14"/>
      <c r="KQ50" s="14"/>
      <c r="KR50" s="14"/>
      <c r="KS50" s="14"/>
      <c r="KT50" s="14"/>
      <c r="KU50" s="14"/>
      <c r="KV50" s="14"/>
      <c r="KW50" s="14"/>
      <c r="KX50" s="14"/>
      <c r="KY50" s="14"/>
      <c r="KZ50" s="14"/>
      <c r="LA50" s="14"/>
      <c r="LB50" s="14"/>
      <c r="LC50" s="14"/>
      <c r="LD50" s="14"/>
      <c r="LE50" s="14"/>
      <c r="LF50" s="14"/>
      <c r="LG50" s="14"/>
      <c r="LH50" s="14"/>
      <c r="LI50" s="14"/>
      <c r="LJ50" s="14"/>
      <c r="LK50" s="14"/>
      <c r="LL50" s="14"/>
      <c r="LM50" s="14"/>
      <c r="LN50" s="14"/>
      <c r="LO50" s="14"/>
      <c r="LP50" s="14"/>
      <c r="LQ50" s="14"/>
      <c r="LR50" s="14"/>
      <c r="LS50" s="14"/>
      <c r="LT50" s="14"/>
      <c r="LU50" s="14"/>
      <c r="LV50" s="14"/>
      <c r="LW50" s="14"/>
      <c r="LX50" s="14"/>
      <c r="LY50" s="14"/>
      <c r="LZ50" s="14"/>
      <c r="MA50" s="14"/>
      <c r="MB50" s="14"/>
      <c r="MC50" s="14"/>
      <c r="MD50" s="14"/>
      <c r="ME50" s="14"/>
      <c r="MF50" s="14"/>
      <c r="MG50" s="14"/>
      <c r="MH50" s="14"/>
      <c r="MI50" s="14"/>
      <c r="MJ50" s="14"/>
      <c r="MK50" s="14"/>
      <c r="ML50" s="14"/>
      <c r="MM50" s="14"/>
      <c r="MN50" s="14"/>
      <c r="MO50" s="14"/>
      <c r="MP50" s="14"/>
      <c r="MQ50" s="14"/>
      <c r="MR50" s="14"/>
      <c r="MS50" s="14"/>
      <c r="MT50" s="14"/>
      <c r="MU50" s="14"/>
      <c r="MV50" s="14"/>
      <c r="MW50" s="14"/>
      <c r="MX50" s="14"/>
      <c r="MY50" s="14"/>
      <c r="MZ50" s="14"/>
      <c r="NA50" s="14"/>
      <c r="NB50" s="14"/>
      <c r="NC50" s="14"/>
      <c r="ND50" s="14"/>
      <c r="NE50" s="14"/>
      <c r="NF50" s="14"/>
      <c r="NG50" s="14"/>
      <c r="NH50" s="14"/>
      <c r="NI50" s="14"/>
      <c r="NJ50" s="14"/>
      <c r="NK50" s="14"/>
      <c r="NL50" s="14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</row>
    <row r="51" ht="13.5" customHeight="1">
      <c r="A51" s="2"/>
      <c r="B51" s="22"/>
      <c r="C51" s="2"/>
      <c r="D51" s="13"/>
      <c r="E51" s="3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  <c r="FG51" s="14"/>
      <c r="FH51" s="14"/>
      <c r="FI51" s="14"/>
      <c r="FJ51" s="14"/>
      <c r="FK51" s="14"/>
      <c r="FL51" s="14"/>
      <c r="FM51" s="14"/>
      <c r="FN51" s="14"/>
      <c r="FO51" s="14"/>
      <c r="FP51" s="14"/>
      <c r="FQ51" s="14"/>
      <c r="FR51" s="14"/>
      <c r="FS51" s="14"/>
      <c r="FT51" s="14"/>
      <c r="FU51" s="14"/>
      <c r="FV51" s="14"/>
      <c r="FW51" s="14"/>
      <c r="FX51" s="14"/>
      <c r="FY51" s="14"/>
      <c r="FZ51" s="14"/>
      <c r="GA51" s="14"/>
      <c r="GB51" s="14"/>
      <c r="GC51" s="14"/>
      <c r="GD51" s="14"/>
      <c r="GE51" s="14"/>
      <c r="GF51" s="14"/>
      <c r="GG51" s="14"/>
      <c r="GH51" s="14"/>
      <c r="GI51" s="14"/>
      <c r="GJ51" s="14"/>
      <c r="GK51" s="14"/>
      <c r="GL51" s="14"/>
      <c r="GM51" s="14"/>
      <c r="GN51" s="14"/>
      <c r="GO51" s="14"/>
      <c r="GP51" s="14"/>
      <c r="GQ51" s="14"/>
      <c r="GR51" s="14"/>
      <c r="GS51" s="14"/>
      <c r="GT51" s="14"/>
      <c r="GU51" s="14"/>
      <c r="GV51" s="14"/>
      <c r="GW51" s="14"/>
      <c r="GX51" s="14"/>
      <c r="GY51" s="14"/>
      <c r="GZ51" s="14"/>
      <c r="HA51" s="14"/>
      <c r="HB51" s="14"/>
      <c r="HC51" s="14"/>
      <c r="HD51" s="14"/>
      <c r="HE51" s="14"/>
      <c r="HF51" s="14"/>
      <c r="HG51" s="14"/>
      <c r="HH51" s="14"/>
      <c r="HI51" s="14"/>
      <c r="HJ51" s="14"/>
      <c r="HK51" s="14"/>
      <c r="HL51" s="14"/>
      <c r="HM51" s="14"/>
      <c r="HN51" s="14"/>
      <c r="HO51" s="14"/>
      <c r="HP51" s="14"/>
      <c r="HQ51" s="14"/>
      <c r="HR51" s="14"/>
      <c r="HS51" s="14"/>
      <c r="HT51" s="14"/>
      <c r="HU51" s="14"/>
      <c r="HV51" s="14"/>
      <c r="HW51" s="14"/>
      <c r="HX51" s="14"/>
      <c r="HY51" s="14"/>
      <c r="HZ51" s="14"/>
      <c r="IA51" s="14"/>
      <c r="IB51" s="14"/>
      <c r="IC51" s="14"/>
      <c r="ID51" s="14"/>
      <c r="IE51" s="14"/>
      <c r="IF51" s="14"/>
      <c r="IG51" s="14"/>
      <c r="IH51" s="14"/>
      <c r="II51" s="14"/>
      <c r="IJ51" s="14"/>
      <c r="IK51" s="14"/>
      <c r="IL51" s="14"/>
      <c r="IM51" s="14"/>
      <c r="IN51" s="14"/>
      <c r="IO51" s="14"/>
      <c r="IP51" s="14"/>
      <c r="IQ51" s="14"/>
      <c r="IR51" s="14"/>
      <c r="IS51" s="14"/>
      <c r="IT51" s="14"/>
      <c r="IU51" s="14"/>
      <c r="IV51" s="14"/>
      <c r="IW51" s="14"/>
      <c r="IX51" s="14"/>
      <c r="IY51" s="14"/>
      <c r="IZ51" s="14"/>
      <c r="JA51" s="14"/>
      <c r="JB51" s="14"/>
      <c r="JC51" s="14"/>
      <c r="JD51" s="14"/>
      <c r="JE51" s="14"/>
      <c r="JF51" s="14"/>
      <c r="JG51" s="14"/>
      <c r="JH51" s="14"/>
      <c r="JI51" s="14"/>
      <c r="JJ51" s="14"/>
      <c r="JK51" s="14"/>
      <c r="JL51" s="14"/>
      <c r="JM51" s="14"/>
      <c r="JN51" s="14"/>
      <c r="JO51" s="14"/>
      <c r="JP51" s="14"/>
      <c r="JQ51" s="14"/>
      <c r="JR51" s="14"/>
      <c r="JS51" s="14"/>
      <c r="JT51" s="14"/>
      <c r="JU51" s="14"/>
      <c r="JV51" s="14"/>
      <c r="JW51" s="14"/>
      <c r="JX51" s="14"/>
      <c r="JY51" s="14"/>
      <c r="JZ51" s="14"/>
      <c r="KA51" s="14"/>
      <c r="KB51" s="14"/>
      <c r="KC51" s="14"/>
      <c r="KD51" s="14"/>
      <c r="KE51" s="14"/>
      <c r="KF51" s="14"/>
      <c r="KG51" s="14"/>
      <c r="KH51" s="14"/>
      <c r="KI51" s="14"/>
      <c r="KJ51" s="14"/>
      <c r="KK51" s="14"/>
      <c r="KL51" s="14"/>
      <c r="KM51" s="14"/>
      <c r="KN51" s="14"/>
      <c r="KO51" s="14"/>
      <c r="KP51" s="14"/>
      <c r="KQ51" s="14"/>
      <c r="KR51" s="14"/>
      <c r="KS51" s="14"/>
      <c r="KT51" s="14"/>
      <c r="KU51" s="14"/>
      <c r="KV51" s="14"/>
      <c r="KW51" s="14"/>
      <c r="KX51" s="14"/>
      <c r="KY51" s="14"/>
      <c r="KZ51" s="14"/>
      <c r="LA51" s="14"/>
      <c r="LB51" s="14"/>
      <c r="LC51" s="14"/>
      <c r="LD51" s="14"/>
      <c r="LE51" s="14"/>
      <c r="LF51" s="14"/>
      <c r="LG51" s="14"/>
      <c r="LH51" s="14"/>
      <c r="LI51" s="14"/>
      <c r="LJ51" s="14"/>
      <c r="LK51" s="14"/>
      <c r="LL51" s="14"/>
      <c r="LM51" s="14"/>
      <c r="LN51" s="14"/>
      <c r="LO51" s="14"/>
      <c r="LP51" s="14"/>
      <c r="LQ51" s="14"/>
      <c r="LR51" s="14"/>
      <c r="LS51" s="14"/>
      <c r="LT51" s="14"/>
      <c r="LU51" s="14"/>
      <c r="LV51" s="14"/>
      <c r="LW51" s="14"/>
      <c r="LX51" s="14"/>
      <c r="LY51" s="14"/>
      <c r="LZ51" s="14"/>
      <c r="MA51" s="14"/>
      <c r="MB51" s="14"/>
      <c r="MC51" s="14"/>
      <c r="MD51" s="14"/>
      <c r="ME51" s="14"/>
      <c r="MF51" s="14"/>
      <c r="MG51" s="14"/>
      <c r="MH51" s="14"/>
      <c r="MI51" s="14"/>
      <c r="MJ51" s="14"/>
      <c r="MK51" s="14"/>
      <c r="ML51" s="14"/>
      <c r="MM51" s="14"/>
      <c r="MN51" s="14"/>
      <c r="MO51" s="14"/>
      <c r="MP51" s="14"/>
      <c r="MQ51" s="14"/>
      <c r="MR51" s="14"/>
      <c r="MS51" s="14"/>
      <c r="MT51" s="14"/>
      <c r="MU51" s="14"/>
      <c r="MV51" s="14"/>
      <c r="MW51" s="14"/>
      <c r="MX51" s="14"/>
      <c r="MY51" s="14"/>
      <c r="MZ51" s="14"/>
      <c r="NA51" s="14"/>
      <c r="NB51" s="14"/>
      <c r="NC51" s="14"/>
      <c r="ND51" s="14"/>
      <c r="NE51" s="14"/>
      <c r="NF51" s="14"/>
      <c r="NG51" s="14"/>
      <c r="NH51" s="14"/>
      <c r="NI51" s="14"/>
      <c r="NJ51" s="14"/>
      <c r="NK51" s="14"/>
      <c r="NL51" s="14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</row>
    <row r="52" ht="13.5" customHeight="1">
      <c r="A52" s="2"/>
      <c r="B52" s="22"/>
      <c r="C52" s="2"/>
      <c r="D52" s="13"/>
      <c r="E52" s="3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  <c r="FG52" s="14"/>
      <c r="FH52" s="14"/>
      <c r="FI52" s="14"/>
      <c r="FJ52" s="14"/>
      <c r="FK52" s="14"/>
      <c r="FL52" s="14"/>
      <c r="FM52" s="14"/>
      <c r="FN52" s="14"/>
      <c r="FO52" s="14"/>
      <c r="FP52" s="14"/>
      <c r="FQ52" s="14"/>
      <c r="FR52" s="14"/>
      <c r="FS52" s="14"/>
      <c r="FT52" s="14"/>
      <c r="FU52" s="14"/>
      <c r="FV52" s="14"/>
      <c r="FW52" s="14"/>
      <c r="FX52" s="14"/>
      <c r="FY52" s="14"/>
      <c r="FZ52" s="14"/>
      <c r="GA52" s="14"/>
      <c r="GB52" s="14"/>
      <c r="GC52" s="14"/>
      <c r="GD52" s="14"/>
      <c r="GE52" s="14"/>
      <c r="GF52" s="14"/>
      <c r="GG52" s="14"/>
      <c r="GH52" s="14"/>
      <c r="GI52" s="14"/>
      <c r="GJ52" s="14"/>
      <c r="GK52" s="14"/>
      <c r="GL52" s="14"/>
      <c r="GM52" s="14"/>
      <c r="GN52" s="14"/>
      <c r="GO52" s="14"/>
      <c r="GP52" s="14"/>
      <c r="GQ52" s="14"/>
      <c r="GR52" s="14"/>
      <c r="GS52" s="14"/>
      <c r="GT52" s="14"/>
      <c r="GU52" s="14"/>
      <c r="GV52" s="14"/>
      <c r="GW52" s="14"/>
      <c r="GX52" s="14"/>
      <c r="GY52" s="14"/>
      <c r="GZ52" s="14"/>
      <c r="HA52" s="14"/>
      <c r="HB52" s="14"/>
      <c r="HC52" s="14"/>
      <c r="HD52" s="14"/>
      <c r="HE52" s="14"/>
      <c r="HF52" s="14"/>
      <c r="HG52" s="14"/>
      <c r="HH52" s="14"/>
      <c r="HI52" s="14"/>
      <c r="HJ52" s="14"/>
      <c r="HK52" s="14"/>
      <c r="HL52" s="14"/>
      <c r="HM52" s="14"/>
      <c r="HN52" s="14"/>
      <c r="HO52" s="14"/>
      <c r="HP52" s="14"/>
      <c r="HQ52" s="14"/>
      <c r="HR52" s="14"/>
      <c r="HS52" s="14"/>
      <c r="HT52" s="14"/>
      <c r="HU52" s="14"/>
      <c r="HV52" s="14"/>
      <c r="HW52" s="14"/>
      <c r="HX52" s="14"/>
      <c r="HY52" s="14"/>
      <c r="HZ52" s="14"/>
      <c r="IA52" s="14"/>
      <c r="IB52" s="14"/>
      <c r="IC52" s="14"/>
      <c r="ID52" s="14"/>
      <c r="IE52" s="14"/>
      <c r="IF52" s="14"/>
      <c r="IG52" s="14"/>
      <c r="IH52" s="14"/>
      <c r="II52" s="14"/>
      <c r="IJ52" s="14"/>
      <c r="IK52" s="14"/>
      <c r="IL52" s="14"/>
      <c r="IM52" s="14"/>
      <c r="IN52" s="14"/>
      <c r="IO52" s="14"/>
      <c r="IP52" s="14"/>
      <c r="IQ52" s="14"/>
      <c r="IR52" s="14"/>
      <c r="IS52" s="14"/>
      <c r="IT52" s="14"/>
      <c r="IU52" s="14"/>
      <c r="IV52" s="14"/>
      <c r="IW52" s="14"/>
      <c r="IX52" s="14"/>
      <c r="IY52" s="14"/>
      <c r="IZ52" s="14"/>
      <c r="JA52" s="14"/>
      <c r="JB52" s="14"/>
      <c r="JC52" s="14"/>
      <c r="JD52" s="14"/>
      <c r="JE52" s="14"/>
      <c r="JF52" s="14"/>
      <c r="JG52" s="14"/>
      <c r="JH52" s="14"/>
      <c r="JI52" s="14"/>
      <c r="JJ52" s="14"/>
      <c r="JK52" s="14"/>
      <c r="JL52" s="14"/>
      <c r="JM52" s="14"/>
      <c r="JN52" s="14"/>
      <c r="JO52" s="14"/>
      <c r="JP52" s="14"/>
      <c r="JQ52" s="14"/>
      <c r="JR52" s="14"/>
      <c r="JS52" s="14"/>
      <c r="JT52" s="14"/>
      <c r="JU52" s="14"/>
      <c r="JV52" s="14"/>
      <c r="JW52" s="14"/>
      <c r="JX52" s="14"/>
      <c r="JY52" s="14"/>
      <c r="JZ52" s="14"/>
      <c r="KA52" s="14"/>
      <c r="KB52" s="14"/>
      <c r="KC52" s="14"/>
      <c r="KD52" s="14"/>
      <c r="KE52" s="14"/>
      <c r="KF52" s="14"/>
      <c r="KG52" s="14"/>
      <c r="KH52" s="14"/>
      <c r="KI52" s="14"/>
      <c r="KJ52" s="14"/>
      <c r="KK52" s="14"/>
      <c r="KL52" s="14"/>
      <c r="KM52" s="14"/>
      <c r="KN52" s="14"/>
      <c r="KO52" s="14"/>
      <c r="KP52" s="14"/>
      <c r="KQ52" s="14"/>
      <c r="KR52" s="14"/>
      <c r="KS52" s="14"/>
      <c r="KT52" s="14"/>
      <c r="KU52" s="14"/>
      <c r="KV52" s="14"/>
      <c r="KW52" s="14"/>
      <c r="KX52" s="14"/>
      <c r="KY52" s="14"/>
      <c r="KZ52" s="14"/>
      <c r="LA52" s="14"/>
      <c r="LB52" s="14"/>
      <c r="LC52" s="14"/>
      <c r="LD52" s="14"/>
      <c r="LE52" s="14"/>
      <c r="LF52" s="14"/>
      <c r="LG52" s="14"/>
      <c r="LH52" s="14"/>
      <c r="LI52" s="14"/>
      <c r="LJ52" s="14"/>
      <c r="LK52" s="14"/>
      <c r="LL52" s="14"/>
      <c r="LM52" s="14"/>
      <c r="LN52" s="14"/>
      <c r="LO52" s="14"/>
      <c r="LP52" s="14"/>
      <c r="LQ52" s="14"/>
      <c r="LR52" s="14"/>
      <c r="LS52" s="14"/>
      <c r="LT52" s="14"/>
      <c r="LU52" s="14"/>
      <c r="LV52" s="14"/>
      <c r="LW52" s="14"/>
      <c r="LX52" s="14"/>
      <c r="LY52" s="14"/>
      <c r="LZ52" s="14"/>
      <c r="MA52" s="14"/>
      <c r="MB52" s="14"/>
      <c r="MC52" s="14"/>
      <c r="MD52" s="14"/>
      <c r="ME52" s="14"/>
      <c r="MF52" s="14"/>
      <c r="MG52" s="14"/>
      <c r="MH52" s="14"/>
      <c r="MI52" s="14"/>
      <c r="MJ52" s="14"/>
      <c r="MK52" s="14"/>
      <c r="ML52" s="14"/>
      <c r="MM52" s="14"/>
      <c r="MN52" s="14"/>
      <c r="MO52" s="14"/>
      <c r="MP52" s="14"/>
      <c r="MQ52" s="14"/>
      <c r="MR52" s="14"/>
      <c r="MS52" s="14"/>
      <c r="MT52" s="14"/>
      <c r="MU52" s="14"/>
      <c r="MV52" s="14"/>
      <c r="MW52" s="14"/>
      <c r="MX52" s="14"/>
      <c r="MY52" s="14"/>
      <c r="MZ52" s="14"/>
      <c r="NA52" s="14"/>
      <c r="NB52" s="14"/>
      <c r="NC52" s="14"/>
      <c r="ND52" s="14"/>
      <c r="NE52" s="14"/>
      <c r="NF52" s="14"/>
      <c r="NG52" s="14"/>
      <c r="NH52" s="14"/>
      <c r="NI52" s="14"/>
      <c r="NJ52" s="14"/>
      <c r="NK52" s="14"/>
      <c r="NL52" s="14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</row>
    <row r="53" ht="13.5" customHeight="1">
      <c r="A53" s="2"/>
      <c r="B53" s="22"/>
      <c r="C53" s="2"/>
      <c r="D53" s="13"/>
      <c r="E53" s="3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  <c r="FG53" s="14"/>
      <c r="FH53" s="14"/>
      <c r="FI53" s="14"/>
      <c r="FJ53" s="14"/>
      <c r="FK53" s="14"/>
      <c r="FL53" s="14"/>
      <c r="FM53" s="14"/>
      <c r="FN53" s="14"/>
      <c r="FO53" s="14"/>
      <c r="FP53" s="14"/>
      <c r="FQ53" s="14"/>
      <c r="FR53" s="14"/>
      <c r="FS53" s="14"/>
      <c r="FT53" s="14"/>
      <c r="FU53" s="14"/>
      <c r="FV53" s="14"/>
      <c r="FW53" s="14"/>
      <c r="FX53" s="14"/>
      <c r="FY53" s="14"/>
      <c r="FZ53" s="14"/>
      <c r="GA53" s="14"/>
      <c r="GB53" s="14"/>
      <c r="GC53" s="14"/>
      <c r="GD53" s="14"/>
      <c r="GE53" s="14"/>
      <c r="GF53" s="14"/>
      <c r="GG53" s="14"/>
      <c r="GH53" s="14"/>
      <c r="GI53" s="14"/>
      <c r="GJ53" s="14"/>
      <c r="GK53" s="14"/>
      <c r="GL53" s="14"/>
      <c r="GM53" s="14"/>
      <c r="GN53" s="14"/>
      <c r="GO53" s="14"/>
      <c r="GP53" s="14"/>
      <c r="GQ53" s="14"/>
      <c r="GR53" s="14"/>
      <c r="GS53" s="14"/>
      <c r="GT53" s="14"/>
      <c r="GU53" s="14"/>
      <c r="GV53" s="14"/>
      <c r="GW53" s="14"/>
      <c r="GX53" s="14"/>
      <c r="GY53" s="14"/>
      <c r="GZ53" s="14"/>
      <c r="HA53" s="14"/>
      <c r="HB53" s="14"/>
      <c r="HC53" s="14"/>
      <c r="HD53" s="14"/>
      <c r="HE53" s="14"/>
      <c r="HF53" s="14"/>
      <c r="HG53" s="14"/>
      <c r="HH53" s="14"/>
      <c r="HI53" s="14"/>
      <c r="HJ53" s="14"/>
      <c r="HK53" s="14"/>
      <c r="HL53" s="14"/>
      <c r="HM53" s="14"/>
      <c r="HN53" s="14"/>
      <c r="HO53" s="14"/>
      <c r="HP53" s="14"/>
      <c r="HQ53" s="14"/>
      <c r="HR53" s="14"/>
      <c r="HS53" s="14"/>
      <c r="HT53" s="14"/>
      <c r="HU53" s="14"/>
      <c r="HV53" s="14"/>
      <c r="HW53" s="14"/>
      <c r="HX53" s="14"/>
      <c r="HY53" s="14"/>
      <c r="HZ53" s="14"/>
      <c r="IA53" s="14"/>
      <c r="IB53" s="14"/>
      <c r="IC53" s="14"/>
      <c r="ID53" s="14"/>
      <c r="IE53" s="14"/>
      <c r="IF53" s="14"/>
      <c r="IG53" s="14"/>
      <c r="IH53" s="14"/>
      <c r="II53" s="14"/>
      <c r="IJ53" s="14"/>
      <c r="IK53" s="14"/>
      <c r="IL53" s="14"/>
      <c r="IM53" s="14"/>
      <c r="IN53" s="14"/>
      <c r="IO53" s="14"/>
      <c r="IP53" s="14"/>
      <c r="IQ53" s="14"/>
      <c r="IR53" s="14"/>
      <c r="IS53" s="14"/>
      <c r="IT53" s="14"/>
      <c r="IU53" s="14"/>
      <c r="IV53" s="14"/>
      <c r="IW53" s="14"/>
      <c r="IX53" s="14"/>
      <c r="IY53" s="14"/>
      <c r="IZ53" s="14"/>
      <c r="JA53" s="14"/>
      <c r="JB53" s="14"/>
      <c r="JC53" s="14"/>
      <c r="JD53" s="14"/>
      <c r="JE53" s="14"/>
      <c r="JF53" s="14"/>
      <c r="JG53" s="14"/>
      <c r="JH53" s="14"/>
      <c r="JI53" s="14"/>
      <c r="JJ53" s="14"/>
      <c r="JK53" s="14"/>
      <c r="JL53" s="14"/>
      <c r="JM53" s="14"/>
      <c r="JN53" s="14"/>
      <c r="JO53" s="14"/>
      <c r="JP53" s="14"/>
      <c r="JQ53" s="14"/>
      <c r="JR53" s="14"/>
      <c r="JS53" s="14"/>
      <c r="JT53" s="14"/>
      <c r="JU53" s="14"/>
      <c r="JV53" s="14"/>
      <c r="JW53" s="14"/>
      <c r="JX53" s="14"/>
      <c r="JY53" s="14"/>
      <c r="JZ53" s="14"/>
      <c r="KA53" s="14"/>
      <c r="KB53" s="14"/>
      <c r="KC53" s="14"/>
      <c r="KD53" s="14"/>
      <c r="KE53" s="14"/>
      <c r="KF53" s="14"/>
      <c r="KG53" s="14"/>
      <c r="KH53" s="14"/>
      <c r="KI53" s="14"/>
      <c r="KJ53" s="14"/>
      <c r="KK53" s="14"/>
      <c r="KL53" s="14"/>
      <c r="KM53" s="14"/>
      <c r="KN53" s="14"/>
      <c r="KO53" s="14"/>
      <c r="KP53" s="14"/>
      <c r="KQ53" s="14"/>
      <c r="KR53" s="14"/>
      <c r="KS53" s="14"/>
      <c r="KT53" s="14"/>
      <c r="KU53" s="14"/>
      <c r="KV53" s="14"/>
      <c r="KW53" s="14"/>
      <c r="KX53" s="14"/>
      <c r="KY53" s="14"/>
      <c r="KZ53" s="14"/>
      <c r="LA53" s="14"/>
      <c r="LB53" s="14"/>
      <c r="LC53" s="14"/>
      <c r="LD53" s="14"/>
      <c r="LE53" s="14"/>
      <c r="LF53" s="14"/>
      <c r="LG53" s="14"/>
      <c r="LH53" s="14"/>
      <c r="LI53" s="14"/>
      <c r="LJ53" s="14"/>
      <c r="LK53" s="14"/>
      <c r="LL53" s="14"/>
      <c r="LM53" s="14"/>
      <c r="LN53" s="14"/>
      <c r="LO53" s="14"/>
      <c r="LP53" s="14"/>
      <c r="LQ53" s="14"/>
      <c r="LR53" s="14"/>
      <c r="LS53" s="14"/>
      <c r="LT53" s="14"/>
      <c r="LU53" s="14"/>
      <c r="LV53" s="14"/>
      <c r="LW53" s="14"/>
      <c r="LX53" s="14"/>
      <c r="LY53" s="14"/>
      <c r="LZ53" s="14"/>
      <c r="MA53" s="14"/>
      <c r="MB53" s="14"/>
      <c r="MC53" s="14"/>
      <c r="MD53" s="14"/>
      <c r="ME53" s="14"/>
      <c r="MF53" s="14"/>
      <c r="MG53" s="14"/>
      <c r="MH53" s="14"/>
      <c r="MI53" s="14"/>
      <c r="MJ53" s="14"/>
      <c r="MK53" s="14"/>
      <c r="ML53" s="14"/>
      <c r="MM53" s="14"/>
      <c r="MN53" s="14"/>
      <c r="MO53" s="14"/>
      <c r="MP53" s="14"/>
      <c r="MQ53" s="14"/>
      <c r="MR53" s="14"/>
      <c r="MS53" s="14"/>
      <c r="MT53" s="14"/>
      <c r="MU53" s="14"/>
      <c r="MV53" s="14"/>
      <c r="MW53" s="14"/>
      <c r="MX53" s="14"/>
      <c r="MY53" s="14"/>
      <c r="MZ53" s="14"/>
      <c r="NA53" s="14"/>
      <c r="NB53" s="14"/>
      <c r="NC53" s="14"/>
      <c r="ND53" s="14"/>
      <c r="NE53" s="14"/>
      <c r="NF53" s="14"/>
      <c r="NG53" s="14"/>
      <c r="NH53" s="14"/>
      <c r="NI53" s="14"/>
      <c r="NJ53" s="14"/>
      <c r="NK53" s="14"/>
      <c r="NL53" s="14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</row>
    <row r="54" ht="13.5" customHeight="1">
      <c r="A54" s="2"/>
      <c r="B54" s="22"/>
      <c r="C54" s="2"/>
      <c r="D54" s="13"/>
      <c r="E54" s="3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  <c r="FG54" s="14"/>
      <c r="FH54" s="14"/>
      <c r="FI54" s="14"/>
      <c r="FJ54" s="14"/>
      <c r="FK54" s="14"/>
      <c r="FL54" s="14"/>
      <c r="FM54" s="14"/>
      <c r="FN54" s="14"/>
      <c r="FO54" s="14"/>
      <c r="FP54" s="14"/>
      <c r="FQ54" s="14"/>
      <c r="FR54" s="14"/>
      <c r="FS54" s="14"/>
      <c r="FT54" s="14"/>
      <c r="FU54" s="14"/>
      <c r="FV54" s="14"/>
      <c r="FW54" s="14"/>
      <c r="FX54" s="14"/>
      <c r="FY54" s="14"/>
      <c r="FZ54" s="14"/>
      <c r="GA54" s="14"/>
      <c r="GB54" s="14"/>
      <c r="GC54" s="14"/>
      <c r="GD54" s="14"/>
      <c r="GE54" s="14"/>
      <c r="GF54" s="14"/>
      <c r="GG54" s="14"/>
      <c r="GH54" s="14"/>
      <c r="GI54" s="14"/>
      <c r="GJ54" s="14"/>
      <c r="GK54" s="14"/>
      <c r="GL54" s="14"/>
      <c r="GM54" s="14"/>
      <c r="GN54" s="14"/>
      <c r="GO54" s="14"/>
      <c r="GP54" s="14"/>
      <c r="GQ54" s="14"/>
      <c r="GR54" s="14"/>
      <c r="GS54" s="14"/>
      <c r="GT54" s="14"/>
      <c r="GU54" s="14"/>
      <c r="GV54" s="14"/>
      <c r="GW54" s="14"/>
      <c r="GX54" s="14"/>
      <c r="GY54" s="14"/>
      <c r="GZ54" s="14"/>
      <c r="HA54" s="14"/>
      <c r="HB54" s="14"/>
      <c r="HC54" s="14"/>
      <c r="HD54" s="14"/>
      <c r="HE54" s="14"/>
      <c r="HF54" s="14"/>
      <c r="HG54" s="14"/>
      <c r="HH54" s="14"/>
      <c r="HI54" s="14"/>
      <c r="HJ54" s="14"/>
      <c r="HK54" s="14"/>
      <c r="HL54" s="14"/>
      <c r="HM54" s="14"/>
      <c r="HN54" s="14"/>
      <c r="HO54" s="14"/>
      <c r="HP54" s="14"/>
      <c r="HQ54" s="14"/>
      <c r="HR54" s="14"/>
      <c r="HS54" s="14"/>
      <c r="HT54" s="14"/>
      <c r="HU54" s="14"/>
      <c r="HV54" s="14"/>
      <c r="HW54" s="14"/>
      <c r="HX54" s="14"/>
      <c r="HY54" s="14"/>
      <c r="HZ54" s="14"/>
      <c r="IA54" s="14"/>
      <c r="IB54" s="14"/>
      <c r="IC54" s="14"/>
      <c r="ID54" s="14"/>
      <c r="IE54" s="14"/>
      <c r="IF54" s="14"/>
      <c r="IG54" s="14"/>
      <c r="IH54" s="14"/>
      <c r="II54" s="14"/>
      <c r="IJ54" s="14"/>
      <c r="IK54" s="14"/>
      <c r="IL54" s="14"/>
      <c r="IM54" s="14"/>
      <c r="IN54" s="14"/>
      <c r="IO54" s="14"/>
      <c r="IP54" s="14"/>
      <c r="IQ54" s="14"/>
      <c r="IR54" s="14"/>
      <c r="IS54" s="14"/>
      <c r="IT54" s="14"/>
      <c r="IU54" s="14"/>
      <c r="IV54" s="14"/>
      <c r="IW54" s="14"/>
      <c r="IX54" s="14"/>
      <c r="IY54" s="14"/>
      <c r="IZ54" s="14"/>
      <c r="JA54" s="14"/>
      <c r="JB54" s="14"/>
      <c r="JC54" s="14"/>
      <c r="JD54" s="14"/>
      <c r="JE54" s="14"/>
      <c r="JF54" s="14"/>
      <c r="JG54" s="14"/>
      <c r="JH54" s="14"/>
      <c r="JI54" s="14"/>
      <c r="JJ54" s="14"/>
      <c r="JK54" s="14"/>
      <c r="JL54" s="14"/>
      <c r="JM54" s="14"/>
      <c r="JN54" s="14"/>
      <c r="JO54" s="14"/>
      <c r="JP54" s="14"/>
      <c r="JQ54" s="14"/>
      <c r="JR54" s="14"/>
      <c r="JS54" s="14"/>
      <c r="JT54" s="14"/>
      <c r="JU54" s="14"/>
      <c r="JV54" s="14"/>
      <c r="JW54" s="14"/>
      <c r="JX54" s="14"/>
      <c r="JY54" s="14"/>
      <c r="JZ54" s="14"/>
      <c r="KA54" s="14"/>
      <c r="KB54" s="14"/>
      <c r="KC54" s="14"/>
      <c r="KD54" s="14"/>
      <c r="KE54" s="14"/>
      <c r="KF54" s="14"/>
      <c r="KG54" s="14"/>
      <c r="KH54" s="14"/>
      <c r="KI54" s="14"/>
      <c r="KJ54" s="14"/>
      <c r="KK54" s="14"/>
      <c r="KL54" s="14"/>
      <c r="KM54" s="14"/>
      <c r="KN54" s="14"/>
      <c r="KO54" s="14"/>
      <c r="KP54" s="14"/>
      <c r="KQ54" s="14"/>
      <c r="KR54" s="14"/>
      <c r="KS54" s="14"/>
      <c r="KT54" s="14"/>
      <c r="KU54" s="14"/>
      <c r="KV54" s="14"/>
      <c r="KW54" s="14"/>
      <c r="KX54" s="14"/>
      <c r="KY54" s="14"/>
      <c r="KZ54" s="14"/>
      <c r="LA54" s="14"/>
      <c r="LB54" s="14"/>
      <c r="LC54" s="14"/>
      <c r="LD54" s="14"/>
      <c r="LE54" s="14"/>
      <c r="LF54" s="14"/>
      <c r="LG54" s="14"/>
      <c r="LH54" s="14"/>
      <c r="LI54" s="14"/>
      <c r="LJ54" s="14"/>
      <c r="LK54" s="14"/>
      <c r="LL54" s="14"/>
      <c r="LM54" s="14"/>
      <c r="LN54" s="14"/>
      <c r="LO54" s="14"/>
      <c r="LP54" s="14"/>
      <c r="LQ54" s="14"/>
      <c r="LR54" s="14"/>
      <c r="LS54" s="14"/>
      <c r="LT54" s="14"/>
      <c r="LU54" s="14"/>
      <c r="LV54" s="14"/>
      <c r="LW54" s="14"/>
      <c r="LX54" s="14"/>
      <c r="LY54" s="14"/>
      <c r="LZ54" s="14"/>
      <c r="MA54" s="14"/>
      <c r="MB54" s="14"/>
      <c r="MC54" s="14"/>
      <c r="MD54" s="14"/>
      <c r="ME54" s="14"/>
      <c r="MF54" s="14"/>
      <c r="MG54" s="14"/>
      <c r="MH54" s="14"/>
      <c r="MI54" s="14"/>
      <c r="MJ54" s="14"/>
      <c r="MK54" s="14"/>
      <c r="ML54" s="14"/>
      <c r="MM54" s="14"/>
      <c r="MN54" s="14"/>
      <c r="MO54" s="14"/>
      <c r="MP54" s="14"/>
      <c r="MQ54" s="14"/>
      <c r="MR54" s="14"/>
      <c r="MS54" s="14"/>
      <c r="MT54" s="14"/>
      <c r="MU54" s="14"/>
      <c r="MV54" s="14"/>
      <c r="MW54" s="14"/>
      <c r="MX54" s="14"/>
      <c r="MY54" s="14"/>
      <c r="MZ54" s="14"/>
      <c r="NA54" s="14"/>
      <c r="NB54" s="14"/>
      <c r="NC54" s="14"/>
      <c r="ND54" s="14"/>
      <c r="NE54" s="14"/>
      <c r="NF54" s="14"/>
      <c r="NG54" s="14"/>
      <c r="NH54" s="14"/>
      <c r="NI54" s="14"/>
      <c r="NJ54" s="14"/>
      <c r="NK54" s="14"/>
      <c r="NL54" s="14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</row>
    <row r="55" ht="13.5" customHeight="1">
      <c r="A55" s="2"/>
      <c r="B55" s="22"/>
      <c r="C55" s="2"/>
      <c r="D55" s="13"/>
      <c r="E55" s="3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  <c r="FG55" s="14"/>
      <c r="FH55" s="14"/>
      <c r="FI55" s="14"/>
      <c r="FJ55" s="14"/>
      <c r="FK55" s="14"/>
      <c r="FL55" s="14"/>
      <c r="FM55" s="14"/>
      <c r="FN55" s="14"/>
      <c r="FO55" s="14"/>
      <c r="FP55" s="14"/>
      <c r="FQ55" s="14"/>
      <c r="FR55" s="14"/>
      <c r="FS55" s="14"/>
      <c r="FT55" s="14"/>
      <c r="FU55" s="14"/>
      <c r="FV55" s="14"/>
      <c r="FW55" s="14"/>
      <c r="FX55" s="14"/>
      <c r="FY55" s="14"/>
      <c r="FZ55" s="14"/>
      <c r="GA55" s="14"/>
      <c r="GB55" s="14"/>
      <c r="GC55" s="14"/>
      <c r="GD55" s="14"/>
      <c r="GE55" s="14"/>
      <c r="GF55" s="14"/>
      <c r="GG55" s="14"/>
      <c r="GH55" s="14"/>
      <c r="GI55" s="14"/>
      <c r="GJ55" s="14"/>
      <c r="GK55" s="14"/>
      <c r="GL55" s="14"/>
      <c r="GM55" s="14"/>
      <c r="GN55" s="14"/>
      <c r="GO55" s="14"/>
      <c r="GP55" s="14"/>
      <c r="GQ55" s="14"/>
      <c r="GR55" s="14"/>
      <c r="GS55" s="14"/>
      <c r="GT55" s="14"/>
      <c r="GU55" s="14"/>
      <c r="GV55" s="14"/>
      <c r="GW55" s="14"/>
      <c r="GX55" s="14"/>
      <c r="GY55" s="14"/>
      <c r="GZ55" s="14"/>
      <c r="HA55" s="14"/>
      <c r="HB55" s="14"/>
      <c r="HC55" s="14"/>
      <c r="HD55" s="14"/>
      <c r="HE55" s="14"/>
      <c r="HF55" s="14"/>
      <c r="HG55" s="14"/>
      <c r="HH55" s="14"/>
      <c r="HI55" s="14"/>
      <c r="HJ55" s="14"/>
      <c r="HK55" s="14"/>
      <c r="HL55" s="14"/>
      <c r="HM55" s="14"/>
      <c r="HN55" s="14"/>
      <c r="HO55" s="14"/>
      <c r="HP55" s="14"/>
      <c r="HQ55" s="14"/>
      <c r="HR55" s="14"/>
      <c r="HS55" s="14"/>
      <c r="HT55" s="14"/>
      <c r="HU55" s="14"/>
      <c r="HV55" s="14"/>
      <c r="HW55" s="14"/>
      <c r="HX55" s="14"/>
      <c r="HY55" s="14"/>
      <c r="HZ55" s="14"/>
      <c r="IA55" s="14"/>
      <c r="IB55" s="14"/>
      <c r="IC55" s="14"/>
      <c r="ID55" s="14"/>
      <c r="IE55" s="14"/>
      <c r="IF55" s="14"/>
      <c r="IG55" s="14"/>
      <c r="IH55" s="14"/>
      <c r="II55" s="14"/>
      <c r="IJ55" s="14"/>
      <c r="IK55" s="14"/>
      <c r="IL55" s="14"/>
      <c r="IM55" s="14"/>
      <c r="IN55" s="14"/>
      <c r="IO55" s="14"/>
      <c r="IP55" s="14"/>
      <c r="IQ55" s="14"/>
      <c r="IR55" s="14"/>
      <c r="IS55" s="14"/>
      <c r="IT55" s="14"/>
      <c r="IU55" s="14"/>
      <c r="IV55" s="14"/>
      <c r="IW55" s="14"/>
      <c r="IX55" s="14"/>
      <c r="IY55" s="14"/>
      <c r="IZ55" s="14"/>
      <c r="JA55" s="14"/>
      <c r="JB55" s="14"/>
      <c r="JC55" s="14"/>
      <c r="JD55" s="14"/>
      <c r="JE55" s="14"/>
      <c r="JF55" s="14"/>
      <c r="JG55" s="14"/>
      <c r="JH55" s="14"/>
      <c r="JI55" s="14"/>
      <c r="JJ55" s="14"/>
      <c r="JK55" s="14"/>
      <c r="JL55" s="14"/>
      <c r="JM55" s="14"/>
      <c r="JN55" s="14"/>
      <c r="JO55" s="14"/>
      <c r="JP55" s="14"/>
      <c r="JQ55" s="14"/>
      <c r="JR55" s="14"/>
      <c r="JS55" s="14"/>
      <c r="JT55" s="14"/>
      <c r="JU55" s="14"/>
      <c r="JV55" s="14"/>
      <c r="JW55" s="14"/>
      <c r="JX55" s="14"/>
      <c r="JY55" s="14"/>
      <c r="JZ55" s="14"/>
      <c r="KA55" s="14"/>
      <c r="KB55" s="14"/>
      <c r="KC55" s="14"/>
      <c r="KD55" s="14"/>
      <c r="KE55" s="14"/>
      <c r="KF55" s="14"/>
      <c r="KG55" s="14"/>
      <c r="KH55" s="14"/>
      <c r="KI55" s="14"/>
      <c r="KJ55" s="14"/>
      <c r="KK55" s="14"/>
      <c r="KL55" s="14"/>
      <c r="KM55" s="14"/>
      <c r="KN55" s="14"/>
      <c r="KO55" s="14"/>
      <c r="KP55" s="14"/>
      <c r="KQ55" s="14"/>
      <c r="KR55" s="14"/>
      <c r="KS55" s="14"/>
      <c r="KT55" s="14"/>
      <c r="KU55" s="14"/>
      <c r="KV55" s="14"/>
      <c r="KW55" s="14"/>
      <c r="KX55" s="14"/>
      <c r="KY55" s="14"/>
      <c r="KZ55" s="14"/>
      <c r="LA55" s="14"/>
      <c r="LB55" s="14"/>
      <c r="LC55" s="14"/>
      <c r="LD55" s="14"/>
      <c r="LE55" s="14"/>
      <c r="LF55" s="14"/>
      <c r="LG55" s="14"/>
      <c r="LH55" s="14"/>
      <c r="LI55" s="14"/>
      <c r="LJ55" s="14"/>
      <c r="LK55" s="14"/>
      <c r="LL55" s="14"/>
      <c r="LM55" s="14"/>
      <c r="LN55" s="14"/>
      <c r="LO55" s="14"/>
      <c r="LP55" s="14"/>
      <c r="LQ55" s="14"/>
      <c r="LR55" s="14"/>
      <c r="LS55" s="14"/>
      <c r="LT55" s="14"/>
      <c r="LU55" s="14"/>
      <c r="LV55" s="14"/>
      <c r="LW55" s="14"/>
      <c r="LX55" s="14"/>
      <c r="LY55" s="14"/>
      <c r="LZ55" s="14"/>
      <c r="MA55" s="14"/>
      <c r="MB55" s="14"/>
      <c r="MC55" s="14"/>
      <c r="MD55" s="14"/>
      <c r="ME55" s="14"/>
      <c r="MF55" s="14"/>
      <c r="MG55" s="14"/>
      <c r="MH55" s="14"/>
      <c r="MI55" s="14"/>
      <c r="MJ55" s="14"/>
      <c r="MK55" s="14"/>
      <c r="ML55" s="14"/>
      <c r="MM55" s="14"/>
      <c r="MN55" s="14"/>
      <c r="MO55" s="14"/>
      <c r="MP55" s="14"/>
      <c r="MQ55" s="14"/>
      <c r="MR55" s="14"/>
      <c r="MS55" s="14"/>
      <c r="MT55" s="14"/>
      <c r="MU55" s="14"/>
      <c r="MV55" s="14"/>
      <c r="MW55" s="14"/>
      <c r="MX55" s="14"/>
      <c r="MY55" s="14"/>
      <c r="MZ55" s="14"/>
      <c r="NA55" s="14"/>
      <c r="NB55" s="14"/>
      <c r="NC55" s="14"/>
      <c r="ND55" s="14"/>
      <c r="NE55" s="14"/>
      <c r="NF55" s="14"/>
      <c r="NG55" s="14"/>
      <c r="NH55" s="14"/>
      <c r="NI55" s="14"/>
      <c r="NJ55" s="14"/>
      <c r="NK55" s="14"/>
      <c r="NL55" s="14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</row>
    <row r="56" ht="13.5" customHeight="1">
      <c r="A56" s="2"/>
      <c r="B56" s="22"/>
      <c r="C56" s="2"/>
      <c r="D56" s="13"/>
      <c r="E56" s="3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4"/>
      <c r="FJ56" s="14"/>
      <c r="FK56" s="14"/>
      <c r="FL56" s="14"/>
      <c r="FM56" s="14"/>
      <c r="FN56" s="14"/>
      <c r="FO56" s="14"/>
      <c r="FP56" s="14"/>
      <c r="FQ56" s="14"/>
      <c r="FR56" s="14"/>
      <c r="FS56" s="14"/>
      <c r="FT56" s="14"/>
      <c r="FU56" s="14"/>
      <c r="FV56" s="14"/>
      <c r="FW56" s="14"/>
      <c r="FX56" s="14"/>
      <c r="FY56" s="14"/>
      <c r="FZ56" s="14"/>
      <c r="GA56" s="14"/>
      <c r="GB56" s="14"/>
      <c r="GC56" s="14"/>
      <c r="GD56" s="14"/>
      <c r="GE56" s="14"/>
      <c r="GF56" s="14"/>
      <c r="GG56" s="14"/>
      <c r="GH56" s="14"/>
      <c r="GI56" s="14"/>
      <c r="GJ56" s="14"/>
      <c r="GK56" s="14"/>
      <c r="GL56" s="14"/>
      <c r="GM56" s="14"/>
      <c r="GN56" s="14"/>
      <c r="GO56" s="14"/>
      <c r="GP56" s="14"/>
      <c r="GQ56" s="14"/>
      <c r="GR56" s="14"/>
      <c r="GS56" s="14"/>
      <c r="GT56" s="14"/>
      <c r="GU56" s="14"/>
      <c r="GV56" s="14"/>
      <c r="GW56" s="14"/>
      <c r="GX56" s="14"/>
      <c r="GY56" s="14"/>
      <c r="GZ56" s="14"/>
      <c r="HA56" s="14"/>
      <c r="HB56" s="14"/>
      <c r="HC56" s="14"/>
      <c r="HD56" s="14"/>
      <c r="HE56" s="14"/>
      <c r="HF56" s="14"/>
      <c r="HG56" s="14"/>
      <c r="HH56" s="14"/>
      <c r="HI56" s="14"/>
      <c r="HJ56" s="14"/>
      <c r="HK56" s="14"/>
      <c r="HL56" s="14"/>
      <c r="HM56" s="14"/>
      <c r="HN56" s="14"/>
      <c r="HO56" s="14"/>
      <c r="HP56" s="14"/>
      <c r="HQ56" s="14"/>
      <c r="HR56" s="14"/>
      <c r="HS56" s="14"/>
      <c r="HT56" s="14"/>
      <c r="HU56" s="14"/>
      <c r="HV56" s="14"/>
      <c r="HW56" s="14"/>
      <c r="HX56" s="14"/>
      <c r="HY56" s="14"/>
      <c r="HZ56" s="14"/>
      <c r="IA56" s="14"/>
      <c r="IB56" s="14"/>
      <c r="IC56" s="14"/>
      <c r="ID56" s="14"/>
      <c r="IE56" s="14"/>
      <c r="IF56" s="14"/>
      <c r="IG56" s="14"/>
      <c r="IH56" s="14"/>
      <c r="II56" s="14"/>
      <c r="IJ56" s="14"/>
      <c r="IK56" s="14"/>
      <c r="IL56" s="14"/>
      <c r="IM56" s="14"/>
      <c r="IN56" s="14"/>
      <c r="IO56" s="14"/>
      <c r="IP56" s="14"/>
      <c r="IQ56" s="14"/>
      <c r="IR56" s="14"/>
      <c r="IS56" s="14"/>
      <c r="IT56" s="14"/>
      <c r="IU56" s="14"/>
      <c r="IV56" s="14"/>
      <c r="IW56" s="14"/>
      <c r="IX56" s="14"/>
      <c r="IY56" s="14"/>
      <c r="IZ56" s="14"/>
      <c r="JA56" s="14"/>
      <c r="JB56" s="14"/>
      <c r="JC56" s="14"/>
      <c r="JD56" s="14"/>
      <c r="JE56" s="14"/>
      <c r="JF56" s="14"/>
      <c r="JG56" s="14"/>
      <c r="JH56" s="14"/>
      <c r="JI56" s="14"/>
      <c r="JJ56" s="14"/>
      <c r="JK56" s="14"/>
      <c r="JL56" s="14"/>
      <c r="JM56" s="14"/>
      <c r="JN56" s="14"/>
      <c r="JO56" s="14"/>
      <c r="JP56" s="14"/>
      <c r="JQ56" s="14"/>
      <c r="JR56" s="14"/>
      <c r="JS56" s="14"/>
      <c r="JT56" s="14"/>
      <c r="JU56" s="14"/>
      <c r="JV56" s="14"/>
      <c r="JW56" s="14"/>
      <c r="JX56" s="14"/>
      <c r="JY56" s="14"/>
      <c r="JZ56" s="14"/>
      <c r="KA56" s="14"/>
      <c r="KB56" s="14"/>
      <c r="KC56" s="14"/>
      <c r="KD56" s="14"/>
      <c r="KE56" s="14"/>
      <c r="KF56" s="14"/>
      <c r="KG56" s="14"/>
      <c r="KH56" s="14"/>
      <c r="KI56" s="14"/>
      <c r="KJ56" s="14"/>
      <c r="KK56" s="14"/>
      <c r="KL56" s="14"/>
      <c r="KM56" s="14"/>
      <c r="KN56" s="14"/>
      <c r="KO56" s="14"/>
      <c r="KP56" s="14"/>
      <c r="KQ56" s="14"/>
      <c r="KR56" s="14"/>
      <c r="KS56" s="14"/>
      <c r="KT56" s="14"/>
      <c r="KU56" s="14"/>
      <c r="KV56" s="14"/>
      <c r="KW56" s="14"/>
      <c r="KX56" s="14"/>
      <c r="KY56" s="14"/>
      <c r="KZ56" s="14"/>
      <c r="LA56" s="14"/>
      <c r="LB56" s="14"/>
      <c r="LC56" s="14"/>
      <c r="LD56" s="14"/>
      <c r="LE56" s="14"/>
      <c r="LF56" s="14"/>
      <c r="LG56" s="14"/>
      <c r="LH56" s="14"/>
      <c r="LI56" s="14"/>
      <c r="LJ56" s="14"/>
      <c r="LK56" s="14"/>
      <c r="LL56" s="14"/>
      <c r="LM56" s="14"/>
      <c r="LN56" s="14"/>
      <c r="LO56" s="14"/>
      <c r="LP56" s="14"/>
      <c r="LQ56" s="14"/>
      <c r="LR56" s="14"/>
      <c r="LS56" s="14"/>
      <c r="LT56" s="14"/>
      <c r="LU56" s="14"/>
      <c r="LV56" s="14"/>
      <c r="LW56" s="14"/>
      <c r="LX56" s="14"/>
      <c r="LY56" s="14"/>
      <c r="LZ56" s="14"/>
      <c r="MA56" s="14"/>
      <c r="MB56" s="14"/>
      <c r="MC56" s="14"/>
      <c r="MD56" s="14"/>
      <c r="ME56" s="14"/>
      <c r="MF56" s="14"/>
      <c r="MG56" s="14"/>
      <c r="MH56" s="14"/>
      <c r="MI56" s="14"/>
      <c r="MJ56" s="14"/>
      <c r="MK56" s="14"/>
      <c r="ML56" s="14"/>
      <c r="MM56" s="14"/>
      <c r="MN56" s="14"/>
      <c r="MO56" s="14"/>
      <c r="MP56" s="14"/>
      <c r="MQ56" s="14"/>
      <c r="MR56" s="14"/>
      <c r="MS56" s="14"/>
      <c r="MT56" s="14"/>
      <c r="MU56" s="14"/>
      <c r="MV56" s="14"/>
      <c r="MW56" s="14"/>
      <c r="MX56" s="14"/>
      <c r="MY56" s="14"/>
      <c r="MZ56" s="14"/>
      <c r="NA56" s="14"/>
      <c r="NB56" s="14"/>
      <c r="NC56" s="14"/>
      <c r="ND56" s="14"/>
      <c r="NE56" s="14"/>
      <c r="NF56" s="14"/>
      <c r="NG56" s="14"/>
      <c r="NH56" s="14"/>
      <c r="NI56" s="14"/>
      <c r="NJ56" s="14"/>
      <c r="NK56" s="14"/>
      <c r="NL56" s="14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</row>
    <row r="57" ht="13.5" customHeight="1">
      <c r="A57" s="2"/>
      <c r="B57" s="22"/>
      <c r="C57" s="2"/>
      <c r="D57" s="13"/>
      <c r="E57" s="3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4"/>
      <c r="FD57" s="14"/>
      <c r="FE57" s="14"/>
      <c r="FF57" s="14"/>
      <c r="FG57" s="14"/>
      <c r="FH57" s="14"/>
      <c r="FI57" s="14"/>
      <c r="FJ57" s="14"/>
      <c r="FK57" s="14"/>
      <c r="FL57" s="14"/>
      <c r="FM57" s="14"/>
      <c r="FN57" s="14"/>
      <c r="FO57" s="14"/>
      <c r="FP57" s="14"/>
      <c r="FQ57" s="14"/>
      <c r="FR57" s="14"/>
      <c r="FS57" s="14"/>
      <c r="FT57" s="14"/>
      <c r="FU57" s="14"/>
      <c r="FV57" s="14"/>
      <c r="FW57" s="14"/>
      <c r="FX57" s="14"/>
      <c r="FY57" s="14"/>
      <c r="FZ57" s="14"/>
      <c r="GA57" s="14"/>
      <c r="GB57" s="14"/>
      <c r="GC57" s="14"/>
      <c r="GD57" s="14"/>
      <c r="GE57" s="14"/>
      <c r="GF57" s="14"/>
      <c r="GG57" s="14"/>
      <c r="GH57" s="14"/>
      <c r="GI57" s="14"/>
      <c r="GJ57" s="14"/>
      <c r="GK57" s="14"/>
      <c r="GL57" s="14"/>
      <c r="GM57" s="14"/>
      <c r="GN57" s="14"/>
      <c r="GO57" s="14"/>
      <c r="GP57" s="14"/>
      <c r="GQ57" s="14"/>
      <c r="GR57" s="14"/>
      <c r="GS57" s="14"/>
      <c r="GT57" s="14"/>
      <c r="GU57" s="14"/>
      <c r="GV57" s="14"/>
      <c r="GW57" s="14"/>
      <c r="GX57" s="14"/>
      <c r="GY57" s="14"/>
      <c r="GZ57" s="14"/>
      <c r="HA57" s="14"/>
      <c r="HB57" s="14"/>
      <c r="HC57" s="14"/>
      <c r="HD57" s="14"/>
      <c r="HE57" s="14"/>
      <c r="HF57" s="14"/>
      <c r="HG57" s="14"/>
      <c r="HH57" s="14"/>
      <c r="HI57" s="14"/>
      <c r="HJ57" s="14"/>
      <c r="HK57" s="14"/>
      <c r="HL57" s="14"/>
      <c r="HM57" s="14"/>
      <c r="HN57" s="14"/>
      <c r="HO57" s="14"/>
      <c r="HP57" s="14"/>
      <c r="HQ57" s="14"/>
      <c r="HR57" s="14"/>
      <c r="HS57" s="14"/>
      <c r="HT57" s="14"/>
      <c r="HU57" s="14"/>
      <c r="HV57" s="14"/>
      <c r="HW57" s="14"/>
      <c r="HX57" s="14"/>
      <c r="HY57" s="14"/>
      <c r="HZ57" s="14"/>
      <c r="IA57" s="14"/>
      <c r="IB57" s="14"/>
      <c r="IC57" s="14"/>
      <c r="ID57" s="14"/>
      <c r="IE57" s="14"/>
      <c r="IF57" s="14"/>
      <c r="IG57" s="14"/>
      <c r="IH57" s="14"/>
      <c r="II57" s="14"/>
      <c r="IJ57" s="14"/>
      <c r="IK57" s="14"/>
      <c r="IL57" s="14"/>
      <c r="IM57" s="14"/>
      <c r="IN57" s="14"/>
      <c r="IO57" s="14"/>
      <c r="IP57" s="14"/>
      <c r="IQ57" s="14"/>
      <c r="IR57" s="14"/>
      <c r="IS57" s="14"/>
      <c r="IT57" s="14"/>
      <c r="IU57" s="14"/>
      <c r="IV57" s="14"/>
      <c r="IW57" s="14"/>
      <c r="IX57" s="14"/>
      <c r="IY57" s="14"/>
      <c r="IZ57" s="14"/>
      <c r="JA57" s="14"/>
      <c r="JB57" s="14"/>
      <c r="JC57" s="14"/>
      <c r="JD57" s="14"/>
      <c r="JE57" s="14"/>
      <c r="JF57" s="14"/>
      <c r="JG57" s="14"/>
      <c r="JH57" s="14"/>
      <c r="JI57" s="14"/>
      <c r="JJ57" s="14"/>
      <c r="JK57" s="14"/>
      <c r="JL57" s="14"/>
      <c r="JM57" s="14"/>
      <c r="JN57" s="14"/>
      <c r="JO57" s="14"/>
      <c r="JP57" s="14"/>
      <c r="JQ57" s="14"/>
      <c r="JR57" s="14"/>
      <c r="JS57" s="14"/>
      <c r="JT57" s="14"/>
      <c r="JU57" s="14"/>
      <c r="JV57" s="14"/>
      <c r="JW57" s="14"/>
      <c r="JX57" s="14"/>
      <c r="JY57" s="14"/>
      <c r="JZ57" s="14"/>
      <c r="KA57" s="14"/>
      <c r="KB57" s="14"/>
      <c r="KC57" s="14"/>
      <c r="KD57" s="14"/>
      <c r="KE57" s="14"/>
      <c r="KF57" s="14"/>
      <c r="KG57" s="14"/>
      <c r="KH57" s="14"/>
      <c r="KI57" s="14"/>
      <c r="KJ57" s="14"/>
      <c r="KK57" s="14"/>
      <c r="KL57" s="14"/>
      <c r="KM57" s="14"/>
      <c r="KN57" s="14"/>
      <c r="KO57" s="14"/>
      <c r="KP57" s="14"/>
      <c r="KQ57" s="14"/>
      <c r="KR57" s="14"/>
      <c r="KS57" s="14"/>
      <c r="KT57" s="14"/>
      <c r="KU57" s="14"/>
      <c r="KV57" s="14"/>
      <c r="KW57" s="14"/>
      <c r="KX57" s="14"/>
      <c r="KY57" s="14"/>
      <c r="KZ57" s="14"/>
      <c r="LA57" s="14"/>
      <c r="LB57" s="14"/>
      <c r="LC57" s="14"/>
      <c r="LD57" s="14"/>
      <c r="LE57" s="14"/>
      <c r="LF57" s="14"/>
      <c r="LG57" s="14"/>
      <c r="LH57" s="14"/>
      <c r="LI57" s="14"/>
      <c r="LJ57" s="14"/>
      <c r="LK57" s="14"/>
      <c r="LL57" s="14"/>
      <c r="LM57" s="14"/>
      <c r="LN57" s="14"/>
      <c r="LO57" s="14"/>
      <c r="LP57" s="14"/>
      <c r="LQ57" s="14"/>
      <c r="LR57" s="14"/>
      <c r="LS57" s="14"/>
      <c r="LT57" s="14"/>
      <c r="LU57" s="14"/>
      <c r="LV57" s="14"/>
      <c r="LW57" s="14"/>
      <c r="LX57" s="14"/>
      <c r="LY57" s="14"/>
      <c r="LZ57" s="14"/>
      <c r="MA57" s="14"/>
      <c r="MB57" s="14"/>
      <c r="MC57" s="14"/>
      <c r="MD57" s="14"/>
      <c r="ME57" s="14"/>
      <c r="MF57" s="14"/>
      <c r="MG57" s="14"/>
      <c r="MH57" s="14"/>
      <c r="MI57" s="14"/>
      <c r="MJ57" s="14"/>
      <c r="MK57" s="14"/>
      <c r="ML57" s="14"/>
      <c r="MM57" s="14"/>
      <c r="MN57" s="14"/>
      <c r="MO57" s="14"/>
      <c r="MP57" s="14"/>
      <c r="MQ57" s="14"/>
      <c r="MR57" s="14"/>
      <c r="MS57" s="14"/>
      <c r="MT57" s="14"/>
      <c r="MU57" s="14"/>
      <c r="MV57" s="14"/>
      <c r="MW57" s="14"/>
      <c r="MX57" s="14"/>
      <c r="MY57" s="14"/>
      <c r="MZ57" s="14"/>
      <c r="NA57" s="14"/>
      <c r="NB57" s="14"/>
      <c r="NC57" s="14"/>
      <c r="ND57" s="14"/>
      <c r="NE57" s="14"/>
      <c r="NF57" s="14"/>
      <c r="NG57" s="14"/>
      <c r="NH57" s="14"/>
      <c r="NI57" s="14"/>
      <c r="NJ57" s="14"/>
      <c r="NK57" s="14"/>
      <c r="NL57" s="14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</row>
    <row r="58" ht="13.5" customHeight="1">
      <c r="A58" s="2"/>
      <c r="B58" s="22"/>
      <c r="C58" s="2"/>
      <c r="D58" s="13"/>
      <c r="E58" s="3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14"/>
      <c r="FL58" s="14"/>
      <c r="FM58" s="14"/>
      <c r="FN58" s="14"/>
      <c r="FO58" s="14"/>
      <c r="FP58" s="14"/>
      <c r="FQ58" s="14"/>
      <c r="FR58" s="14"/>
      <c r="FS58" s="14"/>
      <c r="FT58" s="14"/>
      <c r="FU58" s="14"/>
      <c r="FV58" s="14"/>
      <c r="FW58" s="14"/>
      <c r="FX58" s="14"/>
      <c r="FY58" s="14"/>
      <c r="FZ58" s="14"/>
      <c r="GA58" s="14"/>
      <c r="GB58" s="14"/>
      <c r="GC58" s="14"/>
      <c r="GD58" s="14"/>
      <c r="GE58" s="14"/>
      <c r="GF58" s="14"/>
      <c r="GG58" s="14"/>
      <c r="GH58" s="14"/>
      <c r="GI58" s="14"/>
      <c r="GJ58" s="14"/>
      <c r="GK58" s="14"/>
      <c r="GL58" s="14"/>
      <c r="GM58" s="14"/>
      <c r="GN58" s="14"/>
      <c r="GO58" s="14"/>
      <c r="GP58" s="14"/>
      <c r="GQ58" s="14"/>
      <c r="GR58" s="14"/>
      <c r="GS58" s="14"/>
      <c r="GT58" s="14"/>
      <c r="GU58" s="14"/>
      <c r="GV58" s="14"/>
      <c r="GW58" s="14"/>
      <c r="GX58" s="14"/>
      <c r="GY58" s="14"/>
      <c r="GZ58" s="14"/>
      <c r="HA58" s="14"/>
      <c r="HB58" s="14"/>
      <c r="HC58" s="14"/>
      <c r="HD58" s="14"/>
      <c r="HE58" s="14"/>
      <c r="HF58" s="14"/>
      <c r="HG58" s="14"/>
      <c r="HH58" s="14"/>
      <c r="HI58" s="14"/>
      <c r="HJ58" s="14"/>
      <c r="HK58" s="14"/>
      <c r="HL58" s="14"/>
      <c r="HM58" s="14"/>
      <c r="HN58" s="14"/>
      <c r="HO58" s="14"/>
      <c r="HP58" s="14"/>
      <c r="HQ58" s="14"/>
      <c r="HR58" s="14"/>
      <c r="HS58" s="14"/>
      <c r="HT58" s="14"/>
      <c r="HU58" s="14"/>
      <c r="HV58" s="14"/>
      <c r="HW58" s="14"/>
      <c r="HX58" s="14"/>
      <c r="HY58" s="14"/>
      <c r="HZ58" s="14"/>
      <c r="IA58" s="14"/>
      <c r="IB58" s="14"/>
      <c r="IC58" s="14"/>
      <c r="ID58" s="14"/>
      <c r="IE58" s="14"/>
      <c r="IF58" s="14"/>
      <c r="IG58" s="14"/>
      <c r="IH58" s="14"/>
      <c r="II58" s="14"/>
      <c r="IJ58" s="14"/>
      <c r="IK58" s="14"/>
      <c r="IL58" s="14"/>
      <c r="IM58" s="14"/>
      <c r="IN58" s="14"/>
      <c r="IO58" s="14"/>
      <c r="IP58" s="14"/>
      <c r="IQ58" s="14"/>
      <c r="IR58" s="14"/>
      <c r="IS58" s="14"/>
      <c r="IT58" s="14"/>
      <c r="IU58" s="14"/>
      <c r="IV58" s="14"/>
      <c r="IW58" s="14"/>
      <c r="IX58" s="14"/>
      <c r="IY58" s="14"/>
      <c r="IZ58" s="14"/>
      <c r="JA58" s="14"/>
      <c r="JB58" s="14"/>
      <c r="JC58" s="14"/>
      <c r="JD58" s="14"/>
      <c r="JE58" s="14"/>
      <c r="JF58" s="14"/>
      <c r="JG58" s="14"/>
      <c r="JH58" s="14"/>
      <c r="JI58" s="14"/>
      <c r="JJ58" s="14"/>
      <c r="JK58" s="14"/>
      <c r="JL58" s="14"/>
      <c r="JM58" s="14"/>
      <c r="JN58" s="14"/>
      <c r="JO58" s="14"/>
      <c r="JP58" s="14"/>
      <c r="JQ58" s="14"/>
      <c r="JR58" s="14"/>
      <c r="JS58" s="14"/>
      <c r="JT58" s="14"/>
      <c r="JU58" s="14"/>
      <c r="JV58" s="14"/>
      <c r="JW58" s="14"/>
      <c r="JX58" s="14"/>
      <c r="JY58" s="14"/>
      <c r="JZ58" s="14"/>
      <c r="KA58" s="14"/>
      <c r="KB58" s="14"/>
      <c r="KC58" s="14"/>
      <c r="KD58" s="14"/>
      <c r="KE58" s="14"/>
      <c r="KF58" s="14"/>
      <c r="KG58" s="14"/>
      <c r="KH58" s="14"/>
      <c r="KI58" s="14"/>
      <c r="KJ58" s="14"/>
      <c r="KK58" s="14"/>
      <c r="KL58" s="14"/>
      <c r="KM58" s="14"/>
      <c r="KN58" s="14"/>
      <c r="KO58" s="14"/>
      <c r="KP58" s="14"/>
      <c r="KQ58" s="14"/>
      <c r="KR58" s="14"/>
      <c r="KS58" s="14"/>
      <c r="KT58" s="14"/>
      <c r="KU58" s="14"/>
      <c r="KV58" s="14"/>
      <c r="KW58" s="14"/>
      <c r="KX58" s="14"/>
      <c r="KY58" s="14"/>
      <c r="KZ58" s="14"/>
      <c r="LA58" s="14"/>
      <c r="LB58" s="14"/>
      <c r="LC58" s="14"/>
      <c r="LD58" s="14"/>
      <c r="LE58" s="14"/>
      <c r="LF58" s="14"/>
      <c r="LG58" s="14"/>
      <c r="LH58" s="14"/>
      <c r="LI58" s="14"/>
      <c r="LJ58" s="14"/>
      <c r="LK58" s="14"/>
      <c r="LL58" s="14"/>
      <c r="LM58" s="14"/>
      <c r="LN58" s="14"/>
      <c r="LO58" s="14"/>
      <c r="LP58" s="14"/>
      <c r="LQ58" s="14"/>
      <c r="LR58" s="14"/>
      <c r="LS58" s="14"/>
      <c r="LT58" s="14"/>
      <c r="LU58" s="14"/>
      <c r="LV58" s="14"/>
      <c r="LW58" s="14"/>
      <c r="LX58" s="14"/>
      <c r="LY58" s="14"/>
      <c r="LZ58" s="14"/>
      <c r="MA58" s="14"/>
      <c r="MB58" s="14"/>
      <c r="MC58" s="14"/>
      <c r="MD58" s="14"/>
      <c r="ME58" s="14"/>
      <c r="MF58" s="14"/>
      <c r="MG58" s="14"/>
      <c r="MH58" s="14"/>
      <c r="MI58" s="14"/>
      <c r="MJ58" s="14"/>
      <c r="MK58" s="14"/>
      <c r="ML58" s="14"/>
      <c r="MM58" s="14"/>
      <c r="MN58" s="14"/>
      <c r="MO58" s="14"/>
      <c r="MP58" s="14"/>
      <c r="MQ58" s="14"/>
      <c r="MR58" s="14"/>
      <c r="MS58" s="14"/>
      <c r="MT58" s="14"/>
      <c r="MU58" s="14"/>
      <c r="MV58" s="14"/>
      <c r="MW58" s="14"/>
      <c r="MX58" s="14"/>
      <c r="MY58" s="14"/>
      <c r="MZ58" s="14"/>
      <c r="NA58" s="14"/>
      <c r="NB58" s="14"/>
      <c r="NC58" s="14"/>
      <c r="ND58" s="14"/>
      <c r="NE58" s="14"/>
      <c r="NF58" s="14"/>
      <c r="NG58" s="14"/>
      <c r="NH58" s="14"/>
      <c r="NI58" s="14"/>
      <c r="NJ58" s="14"/>
      <c r="NK58" s="14"/>
      <c r="NL58" s="14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</row>
    <row r="59" ht="13.5" customHeight="1">
      <c r="A59" s="2"/>
      <c r="B59" s="22"/>
      <c r="C59" s="2"/>
      <c r="D59" s="13"/>
      <c r="E59" s="3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  <c r="FG59" s="14"/>
      <c r="FH59" s="14"/>
      <c r="FI59" s="14"/>
      <c r="FJ59" s="14"/>
      <c r="FK59" s="14"/>
      <c r="FL59" s="14"/>
      <c r="FM59" s="14"/>
      <c r="FN59" s="14"/>
      <c r="FO59" s="14"/>
      <c r="FP59" s="14"/>
      <c r="FQ59" s="14"/>
      <c r="FR59" s="14"/>
      <c r="FS59" s="14"/>
      <c r="FT59" s="14"/>
      <c r="FU59" s="14"/>
      <c r="FV59" s="14"/>
      <c r="FW59" s="14"/>
      <c r="FX59" s="14"/>
      <c r="FY59" s="14"/>
      <c r="FZ59" s="14"/>
      <c r="GA59" s="14"/>
      <c r="GB59" s="14"/>
      <c r="GC59" s="14"/>
      <c r="GD59" s="14"/>
      <c r="GE59" s="14"/>
      <c r="GF59" s="14"/>
      <c r="GG59" s="14"/>
      <c r="GH59" s="14"/>
      <c r="GI59" s="14"/>
      <c r="GJ59" s="14"/>
      <c r="GK59" s="14"/>
      <c r="GL59" s="14"/>
      <c r="GM59" s="14"/>
      <c r="GN59" s="14"/>
      <c r="GO59" s="14"/>
      <c r="GP59" s="14"/>
      <c r="GQ59" s="14"/>
      <c r="GR59" s="14"/>
      <c r="GS59" s="14"/>
      <c r="GT59" s="14"/>
      <c r="GU59" s="14"/>
      <c r="GV59" s="14"/>
      <c r="GW59" s="14"/>
      <c r="GX59" s="14"/>
      <c r="GY59" s="14"/>
      <c r="GZ59" s="14"/>
      <c r="HA59" s="14"/>
      <c r="HB59" s="14"/>
      <c r="HC59" s="14"/>
      <c r="HD59" s="14"/>
      <c r="HE59" s="14"/>
      <c r="HF59" s="14"/>
      <c r="HG59" s="14"/>
      <c r="HH59" s="14"/>
      <c r="HI59" s="14"/>
      <c r="HJ59" s="14"/>
      <c r="HK59" s="14"/>
      <c r="HL59" s="14"/>
      <c r="HM59" s="14"/>
      <c r="HN59" s="14"/>
      <c r="HO59" s="14"/>
      <c r="HP59" s="14"/>
      <c r="HQ59" s="14"/>
      <c r="HR59" s="14"/>
      <c r="HS59" s="14"/>
      <c r="HT59" s="14"/>
      <c r="HU59" s="14"/>
      <c r="HV59" s="14"/>
      <c r="HW59" s="14"/>
      <c r="HX59" s="14"/>
      <c r="HY59" s="14"/>
      <c r="HZ59" s="14"/>
      <c r="IA59" s="14"/>
      <c r="IB59" s="14"/>
      <c r="IC59" s="14"/>
      <c r="ID59" s="14"/>
      <c r="IE59" s="14"/>
      <c r="IF59" s="14"/>
      <c r="IG59" s="14"/>
      <c r="IH59" s="14"/>
      <c r="II59" s="14"/>
      <c r="IJ59" s="14"/>
      <c r="IK59" s="14"/>
      <c r="IL59" s="14"/>
      <c r="IM59" s="14"/>
      <c r="IN59" s="14"/>
      <c r="IO59" s="14"/>
      <c r="IP59" s="14"/>
      <c r="IQ59" s="14"/>
      <c r="IR59" s="14"/>
      <c r="IS59" s="14"/>
      <c r="IT59" s="14"/>
      <c r="IU59" s="14"/>
      <c r="IV59" s="14"/>
      <c r="IW59" s="14"/>
      <c r="IX59" s="14"/>
      <c r="IY59" s="14"/>
      <c r="IZ59" s="14"/>
      <c r="JA59" s="14"/>
      <c r="JB59" s="14"/>
      <c r="JC59" s="14"/>
      <c r="JD59" s="14"/>
      <c r="JE59" s="14"/>
      <c r="JF59" s="14"/>
      <c r="JG59" s="14"/>
      <c r="JH59" s="14"/>
      <c r="JI59" s="14"/>
      <c r="JJ59" s="14"/>
      <c r="JK59" s="14"/>
      <c r="JL59" s="14"/>
      <c r="JM59" s="14"/>
      <c r="JN59" s="14"/>
      <c r="JO59" s="14"/>
      <c r="JP59" s="14"/>
      <c r="JQ59" s="14"/>
      <c r="JR59" s="14"/>
      <c r="JS59" s="14"/>
      <c r="JT59" s="14"/>
      <c r="JU59" s="14"/>
      <c r="JV59" s="14"/>
      <c r="JW59" s="14"/>
      <c r="JX59" s="14"/>
      <c r="JY59" s="14"/>
      <c r="JZ59" s="14"/>
      <c r="KA59" s="14"/>
      <c r="KB59" s="14"/>
      <c r="KC59" s="14"/>
      <c r="KD59" s="14"/>
      <c r="KE59" s="14"/>
      <c r="KF59" s="14"/>
      <c r="KG59" s="14"/>
      <c r="KH59" s="14"/>
      <c r="KI59" s="14"/>
      <c r="KJ59" s="14"/>
      <c r="KK59" s="14"/>
      <c r="KL59" s="14"/>
      <c r="KM59" s="14"/>
      <c r="KN59" s="14"/>
      <c r="KO59" s="14"/>
      <c r="KP59" s="14"/>
      <c r="KQ59" s="14"/>
      <c r="KR59" s="14"/>
      <c r="KS59" s="14"/>
      <c r="KT59" s="14"/>
      <c r="KU59" s="14"/>
      <c r="KV59" s="14"/>
      <c r="KW59" s="14"/>
      <c r="KX59" s="14"/>
      <c r="KY59" s="14"/>
      <c r="KZ59" s="14"/>
      <c r="LA59" s="14"/>
      <c r="LB59" s="14"/>
      <c r="LC59" s="14"/>
      <c r="LD59" s="14"/>
      <c r="LE59" s="14"/>
      <c r="LF59" s="14"/>
      <c r="LG59" s="14"/>
      <c r="LH59" s="14"/>
      <c r="LI59" s="14"/>
      <c r="LJ59" s="14"/>
      <c r="LK59" s="14"/>
      <c r="LL59" s="14"/>
      <c r="LM59" s="14"/>
      <c r="LN59" s="14"/>
      <c r="LO59" s="14"/>
      <c r="LP59" s="14"/>
      <c r="LQ59" s="14"/>
      <c r="LR59" s="14"/>
      <c r="LS59" s="14"/>
      <c r="LT59" s="14"/>
      <c r="LU59" s="14"/>
      <c r="LV59" s="14"/>
      <c r="LW59" s="14"/>
      <c r="LX59" s="14"/>
      <c r="LY59" s="14"/>
      <c r="LZ59" s="14"/>
      <c r="MA59" s="14"/>
      <c r="MB59" s="14"/>
      <c r="MC59" s="14"/>
      <c r="MD59" s="14"/>
      <c r="ME59" s="14"/>
      <c r="MF59" s="14"/>
      <c r="MG59" s="14"/>
      <c r="MH59" s="14"/>
      <c r="MI59" s="14"/>
      <c r="MJ59" s="14"/>
      <c r="MK59" s="14"/>
      <c r="ML59" s="14"/>
      <c r="MM59" s="14"/>
      <c r="MN59" s="14"/>
      <c r="MO59" s="14"/>
      <c r="MP59" s="14"/>
      <c r="MQ59" s="14"/>
      <c r="MR59" s="14"/>
      <c r="MS59" s="14"/>
      <c r="MT59" s="14"/>
      <c r="MU59" s="14"/>
      <c r="MV59" s="14"/>
      <c r="MW59" s="14"/>
      <c r="MX59" s="14"/>
      <c r="MY59" s="14"/>
      <c r="MZ59" s="14"/>
      <c r="NA59" s="14"/>
      <c r="NB59" s="14"/>
      <c r="NC59" s="14"/>
      <c r="ND59" s="14"/>
      <c r="NE59" s="14"/>
      <c r="NF59" s="14"/>
      <c r="NG59" s="14"/>
      <c r="NH59" s="14"/>
      <c r="NI59" s="14"/>
      <c r="NJ59" s="14"/>
      <c r="NK59" s="14"/>
      <c r="NL59" s="14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</row>
    <row r="60" ht="13.5" customHeight="1">
      <c r="A60" s="2"/>
      <c r="B60" s="22"/>
      <c r="C60" s="2"/>
      <c r="D60" s="13"/>
      <c r="E60" s="3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4"/>
      <c r="FJ60" s="14"/>
      <c r="FK60" s="14"/>
      <c r="FL60" s="14"/>
      <c r="FM60" s="14"/>
      <c r="FN60" s="14"/>
      <c r="FO60" s="14"/>
      <c r="FP60" s="14"/>
      <c r="FQ60" s="14"/>
      <c r="FR60" s="14"/>
      <c r="FS60" s="14"/>
      <c r="FT60" s="14"/>
      <c r="FU60" s="14"/>
      <c r="FV60" s="14"/>
      <c r="FW60" s="14"/>
      <c r="FX60" s="14"/>
      <c r="FY60" s="14"/>
      <c r="FZ60" s="14"/>
      <c r="GA60" s="14"/>
      <c r="GB60" s="14"/>
      <c r="GC60" s="14"/>
      <c r="GD60" s="14"/>
      <c r="GE60" s="14"/>
      <c r="GF60" s="14"/>
      <c r="GG60" s="14"/>
      <c r="GH60" s="14"/>
      <c r="GI60" s="14"/>
      <c r="GJ60" s="14"/>
      <c r="GK60" s="14"/>
      <c r="GL60" s="14"/>
      <c r="GM60" s="14"/>
      <c r="GN60" s="14"/>
      <c r="GO60" s="14"/>
      <c r="GP60" s="14"/>
      <c r="GQ60" s="14"/>
      <c r="GR60" s="14"/>
      <c r="GS60" s="14"/>
      <c r="GT60" s="14"/>
      <c r="GU60" s="14"/>
      <c r="GV60" s="14"/>
      <c r="GW60" s="14"/>
      <c r="GX60" s="14"/>
      <c r="GY60" s="14"/>
      <c r="GZ60" s="14"/>
      <c r="HA60" s="14"/>
      <c r="HB60" s="14"/>
      <c r="HC60" s="14"/>
      <c r="HD60" s="14"/>
      <c r="HE60" s="14"/>
      <c r="HF60" s="14"/>
      <c r="HG60" s="14"/>
      <c r="HH60" s="14"/>
      <c r="HI60" s="14"/>
      <c r="HJ60" s="14"/>
      <c r="HK60" s="14"/>
      <c r="HL60" s="14"/>
      <c r="HM60" s="14"/>
      <c r="HN60" s="14"/>
      <c r="HO60" s="14"/>
      <c r="HP60" s="14"/>
      <c r="HQ60" s="14"/>
      <c r="HR60" s="14"/>
      <c r="HS60" s="14"/>
      <c r="HT60" s="14"/>
      <c r="HU60" s="14"/>
      <c r="HV60" s="14"/>
      <c r="HW60" s="14"/>
      <c r="HX60" s="14"/>
      <c r="HY60" s="14"/>
      <c r="HZ60" s="14"/>
      <c r="IA60" s="14"/>
      <c r="IB60" s="14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4"/>
      <c r="IO60" s="14"/>
      <c r="IP60" s="14"/>
      <c r="IQ60" s="14"/>
      <c r="IR60" s="14"/>
      <c r="IS60" s="14"/>
      <c r="IT60" s="14"/>
      <c r="IU60" s="14"/>
      <c r="IV60" s="14"/>
      <c r="IW60" s="14"/>
      <c r="IX60" s="14"/>
      <c r="IY60" s="14"/>
      <c r="IZ60" s="14"/>
      <c r="JA60" s="14"/>
      <c r="JB60" s="14"/>
      <c r="JC60" s="14"/>
      <c r="JD60" s="14"/>
      <c r="JE60" s="14"/>
      <c r="JF60" s="14"/>
      <c r="JG60" s="14"/>
      <c r="JH60" s="14"/>
      <c r="JI60" s="14"/>
      <c r="JJ60" s="14"/>
      <c r="JK60" s="14"/>
      <c r="JL60" s="14"/>
      <c r="JM60" s="14"/>
      <c r="JN60" s="14"/>
      <c r="JO60" s="14"/>
      <c r="JP60" s="14"/>
      <c r="JQ60" s="14"/>
      <c r="JR60" s="14"/>
      <c r="JS60" s="14"/>
      <c r="JT60" s="14"/>
      <c r="JU60" s="14"/>
      <c r="JV60" s="14"/>
      <c r="JW60" s="14"/>
      <c r="JX60" s="14"/>
      <c r="JY60" s="14"/>
      <c r="JZ60" s="14"/>
      <c r="KA60" s="14"/>
      <c r="KB60" s="14"/>
      <c r="KC60" s="14"/>
      <c r="KD60" s="14"/>
      <c r="KE60" s="14"/>
      <c r="KF60" s="14"/>
      <c r="KG60" s="14"/>
      <c r="KH60" s="14"/>
      <c r="KI60" s="14"/>
      <c r="KJ60" s="14"/>
      <c r="KK60" s="14"/>
      <c r="KL60" s="14"/>
      <c r="KM60" s="14"/>
      <c r="KN60" s="14"/>
      <c r="KO60" s="14"/>
      <c r="KP60" s="14"/>
      <c r="KQ60" s="14"/>
      <c r="KR60" s="14"/>
      <c r="KS60" s="14"/>
      <c r="KT60" s="14"/>
      <c r="KU60" s="14"/>
      <c r="KV60" s="14"/>
      <c r="KW60" s="14"/>
      <c r="KX60" s="14"/>
      <c r="KY60" s="14"/>
      <c r="KZ60" s="14"/>
      <c r="LA60" s="14"/>
      <c r="LB60" s="14"/>
      <c r="LC60" s="14"/>
      <c r="LD60" s="14"/>
      <c r="LE60" s="14"/>
      <c r="LF60" s="14"/>
      <c r="LG60" s="14"/>
      <c r="LH60" s="14"/>
      <c r="LI60" s="14"/>
      <c r="LJ60" s="14"/>
      <c r="LK60" s="14"/>
      <c r="LL60" s="14"/>
      <c r="LM60" s="14"/>
      <c r="LN60" s="14"/>
      <c r="LO60" s="14"/>
      <c r="LP60" s="14"/>
      <c r="LQ60" s="14"/>
      <c r="LR60" s="14"/>
      <c r="LS60" s="14"/>
      <c r="LT60" s="14"/>
      <c r="LU60" s="14"/>
      <c r="LV60" s="14"/>
      <c r="LW60" s="14"/>
      <c r="LX60" s="14"/>
      <c r="LY60" s="14"/>
      <c r="LZ60" s="14"/>
      <c r="MA60" s="14"/>
      <c r="MB60" s="14"/>
      <c r="MC60" s="14"/>
      <c r="MD60" s="14"/>
      <c r="ME60" s="14"/>
      <c r="MF60" s="14"/>
      <c r="MG60" s="14"/>
      <c r="MH60" s="14"/>
      <c r="MI60" s="14"/>
      <c r="MJ60" s="14"/>
      <c r="MK60" s="14"/>
      <c r="ML60" s="14"/>
      <c r="MM60" s="14"/>
      <c r="MN60" s="14"/>
      <c r="MO60" s="14"/>
      <c r="MP60" s="14"/>
      <c r="MQ60" s="14"/>
      <c r="MR60" s="14"/>
      <c r="MS60" s="14"/>
      <c r="MT60" s="14"/>
      <c r="MU60" s="14"/>
      <c r="MV60" s="14"/>
      <c r="MW60" s="14"/>
      <c r="MX60" s="14"/>
      <c r="MY60" s="14"/>
      <c r="MZ60" s="14"/>
      <c r="NA60" s="14"/>
      <c r="NB60" s="14"/>
      <c r="NC60" s="14"/>
      <c r="ND60" s="14"/>
      <c r="NE60" s="14"/>
      <c r="NF60" s="14"/>
      <c r="NG60" s="14"/>
      <c r="NH60" s="14"/>
      <c r="NI60" s="14"/>
      <c r="NJ60" s="14"/>
      <c r="NK60" s="14"/>
      <c r="NL60" s="14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</row>
    <row r="61" ht="13.5" customHeight="1">
      <c r="A61" s="2"/>
      <c r="B61" s="22"/>
      <c r="C61" s="2"/>
      <c r="D61" s="13"/>
      <c r="E61" s="3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14"/>
      <c r="FU61" s="14"/>
      <c r="FV61" s="14"/>
      <c r="FW61" s="14"/>
      <c r="FX61" s="14"/>
      <c r="FY61" s="14"/>
      <c r="FZ61" s="14"/>
      <c r="GA61" s="14"/>
      <c r="GB61" s="14"/>
      <c r="GC61" s="14"/>
      <c r="GD61" s="14"/>
      <c r="GE61" s="14"/>
      <c r="GF61" s="14"/>
      <c r="GG61" s="14"/>
      <c r="GH61" s="14"/>
      <c r="GI61" s="14"/>
      <c r="GJ61" s="14"/>
      <c r="GK61" s="14"/>
      <c r="GL61" s="14"/>
      <c r="GM61" s="14"/>
      <c r="GN61" s="14"/>
      <c r="GO61" s="14"/>
      <c r="GP61" s="14"/>
      <c r="GQ61" s="14"/>
      <c r="GR61" s="14"/>
      <c r="GS61" s="14"/>
      <c r="GT61" s="14"/>
      <c r="GU61" s="14"/>
      <c r="GV61" s="14"/>
      <c r="GW61" s="14"/>
      <c r="GX61" s="14"/>
      <c r="GY61" s="14"/>
      <c r="GZ61" s="14"/>
      <c r="HA61" s="14"/>
      <c r="HB61" s="14"/>
      <c r="HC61" s="14"/>
      <c r="HD61" s="14"/>
      <c r="HE61" s="14"/>
      <c r="HF61" s="14"/>
      <c r="HG61" s="14"/>
      <c r="HH61" s="14"/>
      <c r="HI61" s="14"/>
      <c r="HJ61" s="14"/>
      <c r="HK61" s="14"/>
      <c r="HL61" s="14"/>
      <c r="HM61" s="14"/>
      <c r="HN61" s="14"/>
      <c r="HO61" s="14"/>
      <c r="HP61" s="14"/>
      <c r="HQ61" s="14"/>
      <c r="HR61" s="14"/>
      <c r="HS61" s="14"/>
      <c r="HT61" s="14"/>
      <c r="HU61" s="14"/>
      <c r="HV61" s="14"/>
      <c r="HW61" s="14"/>
      <c r="HX61" s="14"/>
      <c r="HY61" s="14"/>
      <c r="HZ61" s="14"/>
      <c r="IA61" s="14"/>
      <c r="IB61" s="14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4"/>
      <c r="IP61" s="14"/>
      <c r="IQ61" s="14"/>
      <c r="IR61" s="14"/>
      <c r="IS61" s="14"/>
      <c r="IT61" s="14"/>
      <c r="IU61" s="14"/>
      <c r="IV61" s="14"/>
      <c r="IW61" s="14"/>
      <c r="IX61" s="14"/>
      <c r="IY61" s="14"/>
      <c r="IZ61" s="14"/>
      <c r="JA61" s="14"/>
      <c r="JB61" s="14"/>
      <c r="JC61" s="14"/>
      <c r="JD61" s="14"/>
      <c r="JE61" s="14"/>
      <c r="JF61" s="14"/>
      <c r="JG61" s="14"/>
      <c r="JH61" s="14"/>
      <c r="JI61" s="14"/>
      <c r="JJ61" s="14"/>
      <c r="JK61" s="14"/>
      <c r="JL61" s="14"/>
      <c r="JM61" s="14"/>
      <c r="JN61" s="14"/>
      <c r="JO61" s="14"/>
      <c r="JP61" s="14"/>
      <c r="JQ61" s="14"/>
      <c r="JR61" s="14"/>
      <c r="JS61" s="14"/>
      <c r="JT61" s="14"/>
      <c r="JU61" s="14"/>
      <c r="JV61" s="14"/>
      <c r="JW61" s="14"/>
      <c r="JX61" s="14"/>
      <c r="JY61" s="14"/>
      <c r="JZ61" s="14"/>
      <c r="KA61" s="14"/>
      <c r="KB61" s="14"/>
      <c r="KC61" s="14"/>
      <c r="KD61" s="14"/>
      <c r="KE61" s="14"/>
      <c r="KF61" s="14"/>
      <c r="KG61" s="14"/>
      <c r="KH61" s="14"/>
      <c r="KI61" s="14"/>
      <c r="KJ61" s="14"/>
      <c r="KK61" s="14"/>
      <c r="KL61" s="14"/>
      <c r="KM61" s="14"/>
      <c r="KN61" s="14"/>
      <c r="KO61" s="14"/>
      <c r="KP61" s="14"/>
      <c r="KQ61" s="14"/>
      <c r="KR61" s="14"/>
      <c r="KS61" s="14"/>
      <c r="KT61" s="14"/>
      <c r="KU61" s="14"/>
      <c r="KV61" s="14"/>
      <c r="KW61" s="14"/>
      <c r="KX61" s="14"/>
      <c r="KY61" s="14"/>
      <c r="KZ61" s="14"/>
      <c r="LA61" s="14"/>
      <c r="LB61" s="14"/>
      <c r="LC61" s="14"/>
      <c r="LD61" s="14"/>
      <c r="LE61" s="14"/>
      <c r="LF61" s="14"/>
      <c r="LG61" s="14"/>
      <c r="LH61" s="14"/>
      <c r="LI61" s="14"/>
      <c r="LJ61" s="14"/>
      <c r="LK61" s="14"/>
      <c r="LL61" s="14"/>
      <c r="LM61" s="14"/>
      <c r="LN61" s="14"/>
      <c r="LO61" s="14"/>
      <c r="LP61" s="14"/>
      <c r="LQ61" s="14"/>
      <c r="LR61" s="14"/>
      <c r="LS61" s="14"/>
      <c r="LT61" s="14"/>
      <c r="LU61" s="14"/>
      <c r="LV61" s="14"/>
      <c r="LW61" s="14"/>
      <c r="LX61" s="14"/>
      <c r="LY61" s="14"/>
      <c r="LZ61" s="14"/>
      <c r="MA61" s="14"/>
      <c r="MB61" s="14"/>
      <c r="MC61" s="14"/>
      <c r="MD61" s="14"/>
      <c r="ME61" s="14"/>
      <c r="MF61" s="14"/>
      <c r="MG61" s="14"/>
      <c r="MH61" s="14"/>
      <c r="MI61" s="14"/>
      <c r="MJ61" s="14"/>
      <c r="MK61" s="14"/>
      <c r="ML61" s="14"/>
      <c r="MM61" s="14"/>
      <c r="MN61" s="14"/>
      <c r="MO61" s="14"/>
      <c r="MP61" s="14"/>
      <c r="MQ61" s="14"/>
      <c r="MR61" s="14"/>
      <c r="MS61" s="14"/>
      <c r="MT61" s="14"/>
      <c r="MU61" s="14"/>
      <c r="MV61" s="14"/>
      <c r="MW61" s="14"/>
      <c r="MX61" s="14"/>
      <c r="MY61" s="14"/>
      <c r="MZ61" s="14"/>
      <c r="NA61" s="14"/>
      <c r="NB61" s="14"/>
      <c r="NC61" s="14"/>
      <c r="ND61" s="14"/>
      <c r="NE61" s="14"/>
      <c r="NF61" s="14"/>
      <c r="NG61" s="14"/>
      <c r="NH61" s="14"/>
      <c r="NI61" s="14"/>
      <c r="NJ61" s="14"/>
      <c r="NK61" s="14"/>
      <c r="NL61" s="14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</row>
    <row r="62" ht="13.5" customHeight="1">
      <c r="A62" s="2"/>
      <c r="B62" s="22"/>
      <c r="C62" s="2"/>
      <c r="D62" s="13"/>
      <c r="E62" s="3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14"/>
      <c r="FU62" s="14"/>
      <c r="FV62" s="14"/>
      <c r="FW62" s="14"/>
      <c r="FX62" s="14"/>
      <c r="FY62" s="14"/>
      <c r="FZ62" s="14"/>
      <c r="GA62" s="14"/>
      <c r="GB62" s="14"/>
      <c r="GC62" s="14"/>
      <c r="GD62" s="14"/>
      <c r="GE62" s="14"/>
      <c r="GF62" s="14"/>
      <c r="GG62" s="14"/>
      <c r="GH62" s="14"/>
      <c r="GI62" s="14"/>
      <c r="GJ62" s="14"/>
      <c r="GK62" s="14"/>
      <c r="GL62" s="14"/>
      <c r="GM62" s="14"/>
      <c r="GN62" s="14"/>
      <c r="GO62" s="14"/>
      <c r="GP62" s="14"/>
      <c r="GQ62" s="14"/>
      <c r="GR62" s="14"/>
      <c r="GS62" s="14"/>
      <c r="GT62" s="14"/>
      <c r="GU62" s="14"/>
      <c r="GV62" s="14"/>
      <c r="GW62" s="14"/>
      <c r="GX62" s="14"/>
      <c r="GY62" s="14"/>
      <c r="GZ62" s="14"/>
      <c r="HA62" s="14"/>
      <c r="HB62" s="14"/>
      <c r="HC62" s="14"/>
      <c r="HD62" s="14"/>
      <c r="HE62" s="14"/>
      <c r="HF62" s="14"/>
      <c r="HG62" s="14"/>
      <c r="HH62" s="14"/>
      <c r="HI62" s="14"/>
      <c r="HJ62" s="14"/>
      <c r="HK62" s="14"/>
      <c r="HL62" s="14"/>
      <c r="HM62" s="14"/>
      <c r="HN62" s="14"/>
      <c r="HO62" s="14"/>
      <c r="HP62" s="14"/>
      <c r="HQ62" s="14"/>
      <c r="HR62" s="14"/>
      <c r="HS62" s="14"/>
      <c r="HT62" s="14"/>
      <c r="HU62" s="14"/>
      <c r="HV62" s="14"/>
      <c r="HW62" s="14"/>
      <c r="HX62" s="14"/>
      <c r="HY62" s="14"/>
      <c r="HZ62" s="14"/>
      <c r="IA62" s="14"/>
      <c r="IB62" s="14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4"/>
      <c r="IP62" s="14"/>
      <c r="IQ62" s="14"/>
      <c r="IR62" s="14"/>
      <c r="IS62" s="14"/>
      <c r="IT62" s="14"/>
      <c r="IU62" s="14"/>
      <c r="IV62" s="14"/>
      <c r="IW62" s="14"/>
      <c r="IX62" s="14"/>
      <c r="IY62" s="14"/>
      <c r="IZ62" s="14"/>
      <c r="JA62" s="14"/>
      <c r="JB62" s="14"/>
      <c r="JC62" s="14"/>
      <c r="JD62" s="14"/>
      <c r="JE62" s="14"/>
      <c r="JF62" s="14"/>
      <c r="JG62" s="14"/>
      <c r="JH62" s="14"/>
      <c r="JI62" s="14"/>
      <c r="JJ62" s="14"/>
      <c r="JK62" s="14"/>
      <c r="JL62" s="14"/>
      <c r="JM62" s="14"/>
      <c r="JN62" s="14"/>
      <c r="JO62" s="14"/>
      <c r="JP62" s="14"/>
      <c r="JQ62" s="14"/>
      <c r="JR62" s="14"/>
      <c r="JS62" s="14"/>
      <c r="JT62" s="14"/>
      <c r="JU62" s="14"/>
      <c r="JV62" s="14"/>
      <c r="JW62" s="14"/>
      <c r="JX62" s="14"/>
      <c r="JY62" s="14"/>
      <c r="JZ62" s="14"/>
      <c r="KA62" s="14"/>
      <c r="KB62" s="14"/>
      <c r="KC62" s="14"/>
      <c r="KD62" s="14"/>
      <c r="KE62" s="14"/>
      <c r="KF62" s="14"/>
      <c r="KG62" s="14"/>
      <c r="KH62" s="14"/>
      <c r="KI62" s="14"/>
      <c r="KJ62" s="14"/>
      <c r="KK62" s="14"/>
      <c r="KL62" s="14"/>
      <c r="KM62" s="14"/>
      <c r="KN62" s="14"/>
      <c r="KO62" s="14"/>
      <c r="KP62" s="14"/>
      <c r="KQ62" s="14"/>
      <c r="KR62" s="14"/>
      <c r="KS62" s="14"/>
      <c r="KT62" s="14"/>
      <c r="KU62" s="14"/>
      <c r="KV62" s="14"/>
      <c r="KW62" s="14"/>
      <c r="KX62" s="14"/>
      <c r="KY62" s="14"/>
      <c r="KZ62" s="14"/>
      <c r="LA62" s="14"/>
      <c r="LB62" s="14"/>
      <c r="LC62" s="14"/>
      <c r="LD62" s="14"/>
      <c r="LE62" s="14"/>
      <c r="LF62" s="14"/>
      <c r="LG62" s="14"/>
      <c r="LH62" s="14"/>
      <c r="LI62" s="14"/>
      <c r="LJ62" s="14"/>
      <c r="LK62" s="14"/>
      <c r="LL62" s="14"/>
      <c r="LM62" s="14"/>
      <c r="LN62" s="14"/>
      <c r="LO62" s="14"/>
      <c r="LP62" s="14"/>
      <c r="LQ62" s="14"/>
      <c r="LR62" s="14"/>
      <c r="LS62" s="14"/>
      <c r="LT62" s="14"/>
      <c r="LU62" s="14"/>
      <c r="LV62" s="14"/>
      <c r="LW62" s="14"/>
      <c r="LX62" s="14"/>
      <c r="LY62" s="14"/>
      <c r="LZ62" s="14"/>
      <c r="MA62" s="14"/>
      <c r="MB62" s="14"/>
      <c r="MC62" s="14"/>
      <c r="MD62" s="14"/>
      <c r="ME62" s="14"/>
      <c r="MF62" s="14"/>
      <c r="MG62" s="14"/>
      <c r="MH62" s="14"/>
      <c r="MI62" s="14"/>
      <c r="MJ62" s="14"/>
      <c r="MK62" s="14"/>
      <c r="ML62" s="14"/>
      <c r="MM62" s="14"/>
      <c r="MN62" s="14"/>
      <c r="MO62" s="14"/>
      <c r="MP62" s="14"/>
      <c r="MQ62" s="14"/>
      <c r="MR62" s="14"/>
      <c r="MS62" s="14"/>
      <c r="MT62" s="14"/>
      <c r="MU62" s="14"/>
      <c r="MV62" s="14"/>
      <c r="MW62" s="14"/>
      <c r="MX62" s="14"/>
      <c r="MY62" s="14"/>
      <c r="MZ62" s="14"/>
      <c r="NA62" s="14"/>
      <c r="NB62" s="14"/>
      <c r="NC62" s="14"/>
      <c r="ND62" s="14"/>
      <c r="NE62" s="14"/>
      <c r="NF62" s="14"/>
      <c r="NG62" s="14"/>
      <c r="NH62" s="14"/>
      <c r="NI62" s="14"/>
      <c r="NJ62" s="14"/>
      <c r="NK62" s="14"/>
      <c r="NL62" s="14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</row>
    <row r="63" ht="13.5" customHeight="1">
      <c r="A63" s="2"/>
      <c r="B63" s="22"/>
      <c r="C63" s="2"/>
      <c r="D63" s="13"/>
      <c r="E63" s="3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14"/>
      <c r="FU63" s="14"/>
      <c r="FV63" s="14"/>
      <c r="FW63" s="14"/>
      <c r="FX63" s="14"/>
      <c r="FY63" s="14"/>
      <c r="FZ63" s="14"/>
      <c r="GA63" s="14"/>
      <c r="GB63" s="14"/>
      <c r="GC63" s="14"/>
      <c r="GD63" s="14"/>
      <c r="GE63" s="14"/>
      <c r="GF63" s="14"/>
      <c r="GG63" s="14"/>
      <c r="GH63" s="14"/>
      <c r="GI63" s="14"/>
      <c r="GJ63" s="14"/>
      <c r="GK63" s="14"/>
      <c r="GL63" s="14"/>
      <c r="GM63" s="14"/>
      <c r="GN63" s="14"/>
      <c r="GO63" s="14"/>
      <c r="GP63" s="14"/>
      <c r="GQ63" s="14"/>
      <c r="GR63" s="14"/>
      <c r="GS63" s="14"/>
      <c r="GT63" s="14"/>
      <c r="GU63" s="14"/>
      <c r="GV63" s="14"/>
      <c r="GW63" s="14"/>
      <c r="GX63" s="14"/>
      <c r="GY63" s="14"/>
      <c r="GZ63" s="14"/>
      <c r="HA63" s="14"/>
      <c r="HB63" s="14"/>
      <c r="HC63" s="14"/>
      <c r="HD63" s="14"/>
      <c r="HE63" s="14"/>
      <c r="HF63" s="14"/>
      <c r="HG63" s="14"/>
      <c r="HH63" s="14"/>
      <c r="HI63" s="14"/>
      <c r="HJ63" s="14"/>
      <c r="HK63" s="14"/>
      <c r="HL63" s="14"/>
      <c r="HM63" s="14"/>
      <c r="HN63" s="14"/>
      <c r="HO63" s="14"/>
      <c r="HP63" s="14"/>
      <c r="HQ63" s="14"/>
      <c r="HR63" s="14"/>
      <c r="HS63" s="14"/>
      <c r="HT63" s="14"/>
      <c r="HU63" s="14"/>
      <c r="HV63" s="14"/>
      <c r="HW63" s="14"/>
      <c r="HX63" s="14"/>
      <c r="HY63" s="14"/>
      <c r="HZ63" s="14"/>
      <c r="IA63" s="14"/>
      <c r="IB63" s="14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4"/>
      <c r="IP63" s="14"/>
      <c r="IQ63" s="14"/>
      <c r="IR63" s="14"/>
      <c r="IS63" s="14"/>
      <c r="IT63" s="14"/>
      <c r="IU63" s="14"/>
      <c r="IV63" s="14"/>
      <c r="IW63" s="14"/>
      <c r="IX63" s="14"/>
      <c r="IY63" s="14"/>
      <c r="IZ63" s="14"/>
      <c r="JA63" s="14"/>
      <c r="JB63" s="14"/>
      <c r="JC63" s="14"/>
      <c r="JD63" s="14"/>
      <c r="JE63" s="14"/>
      <c r="JF63" s="14"/>
      <c r="JG63" s="14"/>
      <c r="JH63" s="14"/>
      <c r="JI63" s="14"/>
      <c r="JJ63" s="14"/>
      <c r="JK63" s="14"/>
      <c r="JL63" s="14"/>
      <c r="JM63" s="14"/>
      <c r="JN63" s="14"/>
      <c r="JO63" s="14"/>
      <c r="JP63" s="14"/>
      <c r="JQ63" s="14"/>
      <c r="JR63" s="14"/>
      <c r="JS63" s="14"/>
      <c r="JT63" s="14"/>
      <c r="JU63" s="14"/>
      <c r="JV63" s="14"/>
      <c r="JW63" s="14"/>
      <c r="JX63" s="14"/>
      <c r="JY63" s="14"/>
      <c r="JZ63" s="14"/>
      <c r="KA63" s="14"/>
      <c r="KB63" s="14"/>
      <c r="KC63" s="14"/>
      <c r="KD63" s="14"/>
      <c r="KE63" s="14"/>
      <c r="KF63" s="14"/>
      <c r="KG63" s="14"/>
      <c r="KH63" s="14"/>
      <c r="KI63" s="14"/>
      <c r="KJ63" s="14"/>
      <c r="KK63" s="14"/>
      <c r="KL63" s="14"/>
      <c r="KM63" s="14"/>
      <c r="KN63" s="14"/>
      <c r="KO63" s="14"/>
      <c r="KP63" s="14"/>
      <c r="KQ63" s="14"/>
      <c r="KR63" s="14"/>
      <c r="KS63" s="14"/>
      <c r="KT63" s="14"/>
      <c r="KU63" s="14"/>
      <c r="KV63" s="14"/>
      <c r="KW63" s="14"/>
      <c r="KX63" s="14"/>
      <c r="KY63" s="14"/>
      <c r="KZ63" s="14"/>
      <c r="LA63" s="14"/>
      <c r="LB63" s="14"/>
      <c r="LC63" s="14"/>
      <c r="LD63" s="14"/>
      <c r="LE63" s="14"/>
      <c r="LF63" s="14"/>
      <c r="LG63" s="14"/>
      <c r="LH63" s="14"/>
      <c r="LI63" s="14"/>
      <c r="LJ63" s="14"/>
      <c r="LK63" s="14"/>
      <c r="LL63" s="14"/>
      <c r="LM63" s="14"/>
      <c r="LN63" s="14"/>
      <c r="LO63" s="14"/>
      <c r="LP63" s="14"/>
      <c r="LQ63" s="14"/>
      <c r="LR63" s="14"/>
      <c r="LS63" s="14"/>
      <c r="LT63" s="14"/>
      <c r="LU63" s="14"/>
      <c r="LV63" s="14"/>
      <c r="LW63" s="14"/>
      <c r="LX63" s="14"/>
      <c r="LY63" s="14"/>
      <c r="LZ63" s="14"/>
      <c r="MA63" s="14"/>
      <c r="MB63" s="14"/>
      <c r="MC63" s="14"/>
      <c r="MD63" s="14"/>
      <c r="ME63" s="14"/>
      <c r="MF63" s="14"/>
      <c r="MG63" s="14"/>
      <c r="MH63" s="14"/>
      <c r="MI63" s="14"/>
      <c r="MJ63" s="14"/>
      <c r="MK63" s="14"/>
      <c r="ML63" s="14"/>
      <c r="MM63" s="14"/>
      <c r="MN63" s="14"/>
      <c r="MO63" s="14"/>
      <c r="MP63" s="14"/>
      <c r="MQ63" s="14"/>
      <c r="MR63" s="14"/>
      <c r="MS63" s="14"/>
      <c r="MT63" s="14"/>
      <c r="MU63" s="14"/>
      <c r="MV63" s="14"/>
      <c r="MW63" s="14"/>
      <c r="MX63" s="14"/>
      <c r="MY63" s="14"/>
      <c r="MZ63" s="14"/>
      <c r="NA63" s="14"/>
      <c r="NB63" s="14"/>
      <c r="NC63" s="14"/>
      <c r="ND63" s="14"/>
      <c r="NE63" s="14"/>
      <c r="NF63" s="14"/>
      <c r="NG63" s="14"/>
      <c r="NH63" s="14"/>
      <c r="NI63" s="14"/>
      <c r="NJ63" s="14"/>
      <c r="NK63" s="14"/>
      <c r="NL63" s="14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</row>
    <row r="64" ht="13.5" customHeight="1">
      <c r="A64" s="2"/>
      <c r="B64" s="22"/>
      <c r="C64" s="2"/>
      <c r="D64" s="13"/>
      <c r="E64" s="3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14"/>
      <c r="FU64" s="14"/>
      <c r="FV64" s="14"/>
      <c r="FW64" s="14"/>
      <c r="FX64" s="14"/>
      <c r="FY64" s="14"/>
      <c r="FZ64" s="14"/>
      <c r="GA64" s="14"/>
      <c r="GB64" s="14"/>
      <c r="GC64" s="14"/>
      <c r="GD64" s="14"/>
      <c r="GE64" s="14"/>
      <c r="GF64" s="14"/>
      <c r="GG64" s="14"/>
      <c r="GH64" s="14"/>
      <c r="GI64" s="14"/>
      <c r="GJ64" s="14"/>
      <c r="GK64" s="14"/>
      <c r="GL64" s="14"/>
      <c r="GM64" s="14"/>
      <c r="GN64" s="14"/>
      <c r="GO64" s="14"/>
      <c r="GP64" s="14"/>
      <c r="GQ64" s="14"/>
      <c r="GR64" s="14"/>
      <c r="GS64" s="14"/>
      <c r="GT64" s="14"/>
      <c r="GU64" s="14"/>
      <c r="GV64" s="14"/>
      <c r="GW64" s="14"/>
      <c r="GX64" s="14"/>
      <c r="GY64" s="14"/>
      <c r="GZ64" s="14"/>
      <c r="HA64" s="14"/>
      <c r="HB64" s="14"/>
      <c r="HC64" s="14"/>
      <c r="HD64" s="14"/>
      <c r="HE64" s="14"/>
      <c r="HF64" s="14"/>
      <c r="HG64" s="14"/>
      <c r="HH64" s="14"/>
      <c r="HI64" s="14"/>
      <c r="HJ64" s="14"/>
      <c r="HK64" s="14"/>
      <c r="HL64" s="14"/>
      <c r="HM64" s="14"/>
      <c r="HN64" s="14"/>
      <c r="HO64" s="14"/>
      <c r="HP64" s="14"/>
      <c r="HQ64" s="14"/>
      <c r="HR64" s="14"/>
      <c r="HS64" s="14"/>
      <c r="HT64" s="14"/>
      <c r="HU64" s="14"/>
      <c r="HV64" s="14"/>
      <c r="HW64" s="14"/>
      <c r="HX64" s="14"/>
      <c r="HY64" s="14"/>
      <c r="HZ64" s="14"/>
      <c r="IA64" s="14"/>
      <c r="IB64" s="14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4"/>
      <c r="IP64" s="14"/>
      <c r="IQ64" s="14"/>
      <c r="IR64" s="14"/>
      <c r="IS64" s="14"/>
      <c r="IT64" s="14"/>
      <c r="IU64" s="14"/>
      <c r="IV64" s="14"/>
      <c r="IW64" s="14"/>
      <c r="IX64" s="14"/>
      <c r="IY64" s="14"/>
      <c r="IZ64" s="14"/>
      <c r="JA64" s="14"/>
      <c r="JB64" s="14"/>
      <c r="JC64" s="14"/>
      <c r="JD64" s="14"/>
      <c r="JE64" s="14"/>
      <c r="JF64" s="14"/>
      <c r="JG64" s="14"/>
      <c r="JH64" s="14"/>
      <c r="JI64" s="14"/>
      <c r="JJ64" s="14"/>
      <c r="JK64" s="14"/>
      <c r="JL64" s="14"/>
      <c r="JM64" s="14"/>
      <c r="JN64" s="14"/>
      <c r="JO64" s="14"/>
      <c r="JP64" s="14"/>
      <c r="JQ64" s="14"/>
      <c r="JR64" s="14"/>
      <c r="JS64" s="14"/>
      <c r="JT64" s="14"/>
      <c r="JU64" s="14"/>
      <c r="JV64" s="14"/>
      <c r="JW64" s="14"/>
      <c r="JX64" s="14"/>
      <c r="JY64" s="14"/>
      <c r="JZ64" s="14"/>
      <c r="KA64" s="14"/>
      <c r="KB64" s="14"/>
      <c r="KC64" s="14"/>
      <c r="KD64" s="14"/>
      <c r="KE64" s="14"/>
      <c r="KF64" s="14"/>
      <c r="KG64" s="14"/>
      <c r="KH64" s="14"/>
      <c r="KI64" s="14"/>
      <c r="KJ64" s="14"/>
      <c r="KK64" s="14"/>
      <c r="KL64" s="14"/>
      <c r="KM64" s="14"/>
      <c r="KN64" s="14"/>
      <c r="KO64" s="14"/>
      <c r="KP64" s="14"/>
      <c r="KQ64" s="14"/>
      <c r="KR64" s="14"/>
      <c r="KS64" s="14"/>
      <c r="KT64" s="14"/>
      <c r="KU64" s="14"/>
      <c r="KV64" s="14"/>
      <c r="KW64" s="14"/>
      <c r="KX64" s="14"/>
      <c r="KY64" s="14"/>
      <c r="KZ64" s="14"/>
      <c r="LA64" s="14"/>
      <c r="LB64" s="14"/>
      <c r="LC64" s="14"/>
      <c r="LD64" s="14"/>
      <c r="LE64" s="14"/>
      <c r="LF64" s="14"/>
      <c r="LG64" s="14"/>
      <c r="LH64" s="14"/>
      <c r="LI64" s="14"/>
      <c r="LJ64" s="14"/>
      <c r="LK64" s="14"/>
      <c r="LL64" s="14"/>
      <c r="LM64" s="14"/>
      <c r="LN64" s="14"/>
      <c r="LO64" s="14"/>
      <c r="LP64" s="14"/>
      <c r="LQ64" s="14"/>
      <c r="LR64" s="14"/>
      <c r="LS64" s="14"/>
      <c r="LT64" s="14"/>
      <c r="LU64" s="14"/>
      <c r="LV64" s="14"/>
      <c r="LW64" s="14"/>
      <c r="LX64" s="14"/>
      <c r="LY64" s="14"/>
      <c r="LZ64" s="14"/>
      <c r="MA64" s="14"/>
      <c r="MB64" s="14"/>
      <c r="MC64" s="14"/>
      <c r="MD64" s="14"/>
      <c r="ME64" s="14"/>
      <c r="MF64" s="14"/>
      <c r="MG64" s="14"/>
      <c r="MH64" s="14"/>
      <c r="MI64" s="14"/>
      <c r="MJ64" s="14"/>
      <c r="MK64" s="14"/>
      <c r="ML64" s="14"/>
      <c r="MM64" s="14"/>
      <c r="MN64" s="14"/>
      <c r="MO64" s="14"/>
      <c r="MP64" s="14"/>
      <c r="MQ64" s="14"/>
      <c r="MR64" s="14"/>
      <c r="MS64" s="14"/>
      <c r="MT64" s="14"/>
      <c r="MU64" s="14"/>
      <c r="MV64" s="14"/>
      <c r="MW64" s="14"/>
      <c r="MX64" s="14"/>
      <c r="MY64" s="14"/>
      <c r="MZ64" s="14"/>
      <c r="NA64" s="14"/>
      <c r="NB64" s="14"/>
      <c r="NC64" s="14"/>
      <c r="ND64" s="14"/>
      <c r="NE64" s="14"/>
      <c r="NF64" s="14"/>
      <c r="NG64" s="14"/>
      <c r="NH64" s="14"/>
      <c r="NI64" s="14"/>
      <c r="NJ64" s="14"/>
      <c r="NK64" s="14"/>
      <c r="NL64" s="14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</row>
    <row r="65" ht="13.5" customHeight="1">
      <c r="A65" s="2"/>
      <c r="B65" s="22"/>
      <c r="C65" s="2"/>
      <c r="D65" s="13"/>
      <c r="E65" s="3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14"/>
      <c r="FL65" s="14"/>
      <c r="FM65" s="14"/>
      <c r="FN65" s="14"/>
      <c r="FO65" s="14"/>
      <c r="FP65" s="14"/>
      <c r="FQ65" s="14"/>
      <c r="FR65" s="14"/>
      <c r="FS65" s="14"/>
      <c r="FT65" s="14"/>
      <c r="FU65" s="14"/>
      <c r="FV65" s="14"/>
      <c r="FW65" s="14"/>
      <c r="FX65" s="14"/>
      <c r="FY65" s="14"/>
      <c r="FZ65" s="14"/>
      <c r="GA65" s="14"/>
      <c r="GB65" s="14"/>
      <c r="GC65" s="14"/>
      <c r="GD65" s="14"/>
      <c r="GE65" s="14"/>
      <c r="GF65" s="14"/>
      <c r="GG65" s="14"/>
      <c r="GH65" s="14"/>
      <c r="GI65" s="14"/>
      <c r="GJ65" s="14"/>
      <c r="GK65" s="14"/>
      <c r="GL65" s="14"/>
      <c r="GM65" s="14"/>
      <c r="GN65" s="14"/>
      <c r="GO65" s="14"/>
      <c r="GP65" s="14"/>
      <c r="GQ65" s="14"/>
      <c r="GR65" s="14"/>
      <c r="GS65" s="14"/>
      <c r="GT65" s="14"/>
      <c r="GU65" s="14"/>
      <c r="GV65" s="14"/>
      <c r="GW65" s="14"/>
      <c r="GX65" s="14"/>
      <c r="GY65" s="14"/>
      <c r="GZ65" s="14"/>
      <c r="HA65" s="14"/>
      <c r="HB65" s="14"/>
      <c r="HC65" s="14"/>
      <c r="HD65" s="14"/>
      <c r="HE65" s="14"/>
      <c r="HF65" s="14"/>
      <c r="HG65" s="14"/>
      <c r="HH65" s="14"/>
      <c r="HI65" s="14"/>
      <c r="HJ65" s="14"/>
      <c r="HK65" s="14"/>
      <c r="HL65" s="14"/>
      <c r="HM65" s="14"/>
      <c r="HN65" s="14"/>
      <c r="HO65" s="14"/>
      <c r="HP65" s="14"/>
      <c r="HQ65" s="14"/>
      <c r="HR65" s="14"/>
      <c r="HS65" s="14"/>
      <c r="HT65" s="14"/>
      <c r="HU65" s="14"/>
      <c r="HV65" s="14"/>
      <c r="HW65" s="14"/>
      <c r="HX65" s="14"/>
      <c r="HY65" s="14"/>
      <c r="HZ65" s="14"/>
      <c r="IA65" s="14"/>
      <c r="IB65" s="14"/>
      <c r="IC65" s="14"/>
      <c r="ID65" s="14"/>
      <c r="IE65" s="14"/>
      <c r="IF65" s="14"/>
      <c r="IG65" s="14"/>
      <c r="IH65" s="14"/>
      <c r="II65" s="14"/>
      <c r="IJ65" s="14"/>
      <c r="IK65" s="14"/>
      <c r="IL65" s="14"/>
      <c r="IM65" s="14"/>
      <c r="IN65" s="14"/>
      <c r="IO65" s="14"/>
      <c r="IP65" s="14"/>
      <c r="IQ65" s="14"/>
      <c r="IR65" s="14"/>
      <c r="IS65" s="14"/>
      <c r="IT65" s="14"/>
      <c r="IU65" s="14"/>
      <c r="IV65" s="14"/>
      <c r="IW65" s="14"/>
      <c r="IX65" s="14"/>
      <c r="IY65" s="14"/>
      <c r="IZ65" s="14"/>
      <c r="JA65" s="14"/>
      <c r="JB65" s="14"/>
      <c r="JC65" s="14"/>
      <c r="JD65" s="14"/>
      <c r="JE65" s="14"/>
      <c r="JF65" s="14"/>
      <c r="JG65" s="14"/>
      <c r="JH65" s="14"/>
      <c r="JI65" s="14"/>
      <c r="JJ65" s="14"/>
      <c r="JK65" s="14"/>
      <c r="JL65" s="14"/>
      <c r="JM65" s="14"/>
      <c r="JN65" s="14"/>
      <c r="JO65" s="14"/>
      <c r="JP65" s="14"/>
      <c r="JQ65" s="14"/>
      <c r="JR65" s="14"/>
      <c r="JS65" s="14"/>
      <c r="JT65" s="14"/>
      <c r="JU65" s="14"/>
      <c r="JV65" s="14"/>
      <c r="JW65" s="14"/>
      <c r="JX65" s="14"/>
      <c r="JY65" s="14"/>
      <c r="JZ65" s="14"/>
      <c r="KA65" s="14"/>
      <c r="KB65" s="14"/>
      <c r="KC65" s="14"/>
      <c r="KD65" s="14"/>
      <c r="KE65" s="14"/>
      <c r="KF65" s="14"/>
      <c r="KG65" s="14"/>
      <c r="KH65" s="14"/>
      <c r="KI65" s="14"/>
      <c r="KJ65" s="14"/>
      <c r="KK65" s="14"/>
      <c r="KL65" s="14"/>
      <c r="KM65" s="14"/>
      <c r="KN65" s="14"/>
      <c r="KO65" s="14"/>
      <c r="KP65" s="14"/>
      <c r="KQ65" s="14"/>
      <c r="KR65" s="14"/>
      <c r="KS65" s="14"/>
      <c r="KT65" s="14"/>
      <c r="KU65" s="14"/>
      <c r="KV65" s="14"/>
      <c r="KW65" s="14"/>
      <c r="KX65" s="14"/>
      <c r="KY65" s="14"/>
      <c r="KZ65" s="14"/>
      <c r="LA65" s="14"/>
      <c r="LB65" s="14"/>
      <c r="LC65" s="14"/>
      <c r="LD65" s="14"/>
      <c r="LE65" s="14"/>
      <c r="LF65" s="14"/>
      <c r="LG65" s="14"/>
      <c r="LH65" s="14"/>
      <c r="LI65" s="14"/>
      <c r="LJ65" s="14"/>
      <c r="LK65" s="14"/>
      <c r="LL65" s="14"/>
      <c r="LM65" s="14"/>
      <c r="LN65" s="14"/>
      <c r="LO65" s="14"/>
      <c r="LP65" s="14"/>
      <c r="LQ65" s="14"/>
      <c r="LR65" s="14"/>
      <c r="LS65" s="14"/>
      <c r="LT65" s="14"/>
      <c r="LU65" s="14"/>
      <c r="LV65" s="14"/>
      <c r="LW65" s="14"/>
      <c r="LX65" s="14"/>
      <c r="LY65" s="14"/>
      <c r="LZ65" s="14"/>
      <c r="MA65" s="14"/>
      <c r="MB65" s="14"/>
      <c r="MC65" s="14"/>
      <c r="MD65" s="14"/>
      <c r="ME65" s="14"/>
      <c r="MF65" s="14"/>
      <c r="MG65" s="14"/>
      <c r="MH65" s="14"/>
      <c r="MI65" s="14"/>
      <c r="MJ65" s="14"/>
      <c r="MK65" s="14"/>
      <c r="ML65" s="14"/>
      <c r="MM65" s="14"/>
      <c r="MN65" s="14"/>
      <c r="MO65" s="14"/>
      <c r="MP65" s="14"/>
      <c r="MQ65" s="14"/>
      <c r="MR65" s="14"/>
      <c r="MS65" s="14"/>
      <c r="MT65" s="14"/>
      <c r="MU65" s="14"/>
      <c r="MV65" s="14"/>
      <c r="MW65" s="14"/>
      <c r="MX65" s="14"/>
      <c r="MY65" s="14"/>
      <c r="MZ65" s="14"/>
      <c r="NA65" s="14"/>
      <c r="NB65" s="14"/>
      <c r="NC65" s="14"/>
      <c r="ND65" s="14"/>
      <c r="NE65" s="14"/>
      <c r="NF65" s="14"/>
      <c r="NG65" s="14"/>
      <c r="NH65" s="14"/>
      <c r="NI65" s="14"/>
      <c r="NJ65" s="14"/>
      <c r="NK65" s="14"/>
      <c r="NL65" s="14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</row>
    <row r="66" ht="13.5" customHeight="1">
      <c r="A66" s="2"/>
      <c r="B66" s="22"/>
      <c r="C66" s="2"/>
      <c r="D66" s="13"/>
      <c r="E66" s="3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4"/>
      <c r="FJ66" s="14"/>
      <c r="FK66" s="14"/>
      <c r="FL66" s="14"/>
      <c r="FM66" s="14"/>
      <c r="FN66" s="14"/>
      <c r="FO66" s="14"/>
      <c r="FP66" s="14"/>
      <c r="FQ66" s="14"/>
      <c r="FR66" s="14"/>
      <c r="FS66" s="14"/>
      <c r="FT66" s="14"/>
      <c r="FU66" s="14"/>
      <c r="FV66" s="14"/>
      <c r="FW66" s="14"/>
      <c r="FX66" s="14"/>
      <c r="FY66" s="14"/>
      <c r="FZ66" s="14"/>
      <c r="GA66" s="14"/>
      <c r="GB66" s="14"/>
      <c r="GC66" s="14"/>
      <c r="GD66" s="14"/>
      <c r="GE66" s="14"/>
      <c r="GF66" s="14"/>
      <c r="GG66" s="14"/>
      <c r="GH66" s="14"/>
      <c r="GI66" s="14"/>
      <c r="GJ66" s="14"/>
      <c r="GK66" s="14"/>
      <c r="GL66" s="14"/>
      <c r="GM66" s="14"/>
      <c r="GN66" s="14"/>
      <c r="GO66" s="14"/>
      <c r="GP66" s="14"/>
      <c r="GQ66" s="14"/>
      <c r="GR66" s="14"/>
      <c r="GS66" s="14"/>
      <c r="GT66" s="14"/>
      <c r="GU66" s="14"/>
      <c r="GV66" s="14"/>
      <c r="GW66" s="14"/>
      <c r="GX66" s="14"/>
      <c r="GY66" s="14"/>
      <c r="GZ66" s="14"/>
      <c r="HA66" s="14"/>
      <c r="HB66" s="14"/>
      <c r="HC66" s="14"/>
      <c r="HD66" s="14"/>
      <c r="HE66" s="14"/>
      <c r="HF66" s="14"/>
      <c r="HG66" s="14"/>
      <c r="HH66" s="14"/>
      <c r="HI66" s="14"/>
      <c r="HJ66" s="14"/>
      <c r="HK66" s="14"/>
      <c r="HL66" s="14"/>
      <c r="HM66" s="14"/>
      <c r="HN66" s="14"/>
      <c r="HO66" s="14"/>
      <c r="HP66" s="14"/>
      <c r="HQ66" s="14"/>
      <c r="HR66" s="14"/>
      <c r="HS66" s="14"/>
      <c r="HT66" s="14"/>
      <c r="HU66" s="14"/>
      <c r="HV66" s="14"/>
      <c r="HW66" s="14"/>
      <c r="HX66" s="14"/>
      <c r="HY66" s="14"/>
      <c r="HZ66" s="14"/>
      <c r="IA66" s="14"/>
      <c r="IB66" s="14"/>
      <c r="IC66" s="14"/>
      <c r="ID66" s="14"/>
      <c r="IE66" s="14"/>
      <c r="IF66" s="14"/>
      <c r="IG66" s="14"/>
      <c r="IH66" s="14"/>
      <c r="II66" s="14"/>
      <c r="IJ66" s="14"/>
      <c r="IK66" s="14"/>
      <c r="IL66" s="14"/>
      <c r="IM66" s="14"/>
      <c r="IN66" s="14"/>
      <c r="IO66" s="14"/>
      <c r="IP66" s="14"/>
      <c r="IQ66" s="14"/>
      <c r="IR66" s="14"/>
      <c r="IS66" s="14"/>
      <c r="IT66" s="14"/>
      <c r="IU66" s="14"/>
      <c r="IV66" s="14"/>
      <c r="IW66" s="14"/>
      <c r="IX66" s="14"/>
      <c r="IY66" s="14"/>
      <c r="IZ66" s="14"/>
      <c r="JA66" s="14"/>
      <c r="JB66" s="14"/>
      <c r="JC66" s="14"/>
      <c r="JD66" s="14"/>
      <c r="JE66" s="14"/>
      <c r="JF66" s="14"/>
      <c r="JG66" s="14"/>
      <c r="JH66" s="14"/>
      <c r="JI66" s="14"/>
      <c r="JJ66" s="14"/>
      <c r="JK66" s="14"/>
      <c r="JL66" s="14"/>
      <c r="JM66" s="14"/>
      <c r="JN66" s="14"/>
      <c r="JO66" s="14"/>
      <c r="JP66" s="14"/>
      <c r="JQ66" s="14"/>
      <c r="JR66" s="14"/>
      <c r="JS66" s="14"/>
      <c r="JT66" s="14"/>
      <c r="JU66" s="14"/>
      <c r="JV66" s="14"/>
      <c r="JW66" s="14"/>
      <c r="JX66" s="14"/>
      <c r="JY66" s="14"/>
      <c r="JZ66" s="14"/>
      <c r="KA66" s="14"/>
      <c r="KB66" s="14"/>
      <c r="KC66" s="14"/>
      <c r="KD66" s="14"/>
      <c r="KE66" s="14"/>
      <c r="KF66" s="14"/>
      <c r="KG66" s="14"/>
      <c r="KH66" s="14"/>
      <c r="KI66" s="14"/>
      <c r="KJ66" s="14"/>
      <c r="KK66" s="14"/>
      <c r="KL66" s="14"/>
      <c r="KM66" s="14"/>
      <c r="KN66" s="14"/>
      <c r="KO66" s="14"/>
      <c r="KP66" s="14"/>
      <c r="KQ66" s="14"/>
      <c r="KR66" s="14"/>
      <c r="KS66" s="14"/>
      <c r="KT66" s="14"/>
      <c r="KU66" s="14"/>
      <c r="KV66" s="14"/>
      <c r="KW66" s="14"/>
      <c r="KX66" s="14"/>
      <c r="KY66" s="14"/>
      <c r="KZ66" s="14"/>
      <c r="LA66" s="14"/>
      <c r="LB66" s="14"/>
      <c r="LC66" s="14"/>
      <c r="LD66" s="14"/>
      <c r="LE66" s="14"/>
      <c r="LF66" s="14"/>
      <c r="LG66" s="14"/>
      <c r="LH66" s="14"/>
      <c r="LI66" s="14"/>
      <c r="LJ66" s="14"/>
      <c r="LK66" s="14"/>
      <c r="LL66" s="14"/>
      <c r="LM66" s="14"/>
      <c r="LN66" s="14"/>
      <c r="LO66" s="14"/>
      <c r="LP66" s="14"/>
      <c r="LQ66" s="14"/>
      <c r="LR66" s="14"/>
      <c r="LS66" s="14"/>
      <c r="LT66" s="14"/>
      <c r="LU66" s="14"/>
      <c r="LV66" s="14"/>
      <c r="LW66" s="14"/>
      <c r="LX66" s="14"/>
      <c r="LY66" s="14"/>
      <c r="LZ66" s="14"/>
      <c r="MA66" s="14"/>
      <c r="MB66" s="14"/>
      <c r="MC66" s="14"/>
      <c r="MD66" s="14"/>
      <c r="ME66" s="14"/>
      <c r="MF66" s="14"/>
      <c r="MG66" s="14"/>
      <c r="MH66" s="14"/>
      <c r="MI66" s="14"/>
      <c r="MJ66" s="14"/>
      <c r="MK66" s="14"/>
      <c r="ML66" s="14"/>
      <c r="MM66" s="14"/>
      <c r="MN66" s="14"/>
      <c r="MO66" s="14"/>
      <c r="MP66" s="14"/>
      <c r="MQ66" s="14"/>
      <c r="MR66" s="14"/>
      <c r="MS66" s="14"/>
      <c r="MT66" s="14"/>
      <c r="MU66" s="14"/>
      <c r="MV66" s="14"/>
      <c r="MW66" s="14"/>
      <c r="MX66" s="14"/>
      <c r="MY66" s="14"/>
      <c r="MZ66" s="14"/>
      <c r="NA66" s="14"/>
      <c r="NB66" s="14"/>
      <c r="NC66" s="14"/>
      <c r="ND66" s="14"/>
      <c r="NE66" s="14"/>
      <c r="NF66" s="14"/>
      <c r="NG66" s="14"/>
      <c r="NH66" s="14"/>
      <c r="NI66" s="14"/>
      <c r="NJ66" s="14"/>
      <c r="NK66" s="14"/>
      <c r="NL66" s="14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</row>
    <row r="67" ht="13.5" customHeight="1">
      <c r="A67" s="2"/>
      <c r="B67" s="22"/>
      <c r="C67" s="2"/>
      <c r="D67" s="13"/>
      <c r="E67" s="3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4"/>
      <c r="FJ67" s="14"/>
      <c r="FK67" s="14"/>
      <c r="FL67" s="14"/>
      <c r="FM67" s="14"/>
      <c r="FN67" s="14"/>
      <c r="FO67" s="14"/>
      <c r="FP67" s="14"/>
      <c r="FQ67" s="14"/>
      <c r="FR67" s="14"/>
      <c r="FS67" s="14"/>
      <c r="FT67" s="14"/>
      <c r="FU67" s="14"/>
      <c r="FV67" s="14"/>
      <c r="FW67" s="14"/>
      <c r="FX67" s="14"/>
      <c r="FY67" s="14"/>
      <c r="FZ67" s="14"/>
      <c r="GA67" s="14"/>
      <c r="GB67" s="14"/>
      <c r="GC67" s="14"/>
      <c r="GD67" s="14"/>
      <c r="GE67" s="14"/>
      <c r="GF67" s="14"/>
      <c r="GG67" s="14"/>
      <c r="GH67" s="14"/>
      <c r="GI67" s="14"/>
      <c r="GJ67" s="14"/>
      <c r="GK67" s="14"/>
      <c r="GL67" s="14"/>
      <c r="GM67" s="14"/>
      <c r="GN67" s="14"/>
      <c r="GO67" s="14"/>
      <c r="GP67" s="14"/>
      <c r="GQ67" s="14"/>
      <c r="GR67" s="14"/>
      <c r="GS67" s="14"/>
      <c r="GT67" s="14"/>
      <c r="GU67" s="14"/>
      <c r="GV67" s="14"/>
      <c r="GW67" s="14"/>
      <c r="GX67" s="14"/>
      <c r="GY67" s="14"/>
      <c r="GZ67" s="14"/>
      <c r="HA67" s="14"/>
      <c r="HB67" s="14"/>
      <c r="HC67" s="14"/>
      <c r="HD67" s="14"/>
      <c r="HE67" s="14"/>
      <c r="HF67" s="14"/>
      <c r="HG67" s="14"/>
      <c r="HH67" s="14"/>
      <c r="HI67" s="14"/>
      <c r="HJ67" s="14"/>
      <c r="HK67" s="14"/>
      <c r="HL67" s="14"/>
      <c r="HM67" s="14"/>
      <c r="HN67" s="14"/>
      <c r="HO67" s="14"/>
      <c r="HP67" s="14"/>
      <c r="HQ67" s="14"/>
      <c r="HR67" s="14"/>
      <c r="HS67" s="14"/>
      <c r="HT67" s="14"/>
      <c r="HU67" s="14"/>
      <c r="HV67" s="14"/>
      <c r="HW67" s="14"/>
      <c r="HX67" s="14"/>
      <c r="HY67" s="14"/>
      <c r="HZ67" s="14"/>
      <c r="IA67" s="14"/>
      <c r="IB67" s="14"/>
      <c r="IC67" s="14"/>
      <c r="ID67" s="14"/>
      <c r="IE67" s="14"/>
      <c r="IF67" s="14"/>
      <c r="IG67" s="14"/>
      <c r="IH67" s="14"/>
      <c r="II67" s="14"/>
      <c r="IJ67" s="14"/>
      <c r="IK67" s="14"/>
      <c r="IL67" s="14"/>
      <c r="IM67" s="14"/>
      <c r="IN67" s="14"/>
      <c r="IO67" s="14"/>
      <c r="IP67" s="14"/>
      <c r="IQ67" s="14"/>
      <c r="IR67" s="14"/>
      <c r="IS67" s="14"/>
      <c r="IT67" s="14"/>
      <c r="IU67" s="14"/>
      <c r="IV67" s="14"/>
      <c r="IW67" s="14"/>
      <c r="IX67" s="14"/>
      <c r="IY67" s="14"/>
      <c r="IZ67" s="14"/>
      <c r="JA67" s="14"/>
      <c r="JB67" s="14"/>
      <c r="JC67" s="14"/>
      <c r="JD67" s="14"/>
      <c r="JE67" s="14"/>
      <c r="JF67" s="14"/>
      <c r="JG67" s="14"/>
      <c r="JH67" s="14"/>
      <c r="JI67" s="14"/>
      <c r="JJ67" s="14"/>
      <c r="JK67" s="14"/>
      <c r="JL67" s="14"/>
      <c r="JM67" s="14"/>
      <c r="JN67" s="14"/>
      <c r="JO67" s="14"/>
      <c r="JP67" s="14"/>
      <c r="JQ67" s="14"/>
      <c r="JR67" s="14"/>
      <c r="JS67" s="14"/>
      <c r="JT67" s="14"/>
      <c r="JU67" s="14"/>
      <c r="JV67" s="14"/>
      <c r="JW67" s="14"/>
      <c r="JX67" s="14"/>
      <c r="JY67" s="14"/>
      <c r="JZ67" s="14"/>
      <c r="KA67" s="14"/>
      <c r="KB67" s="14"/>
      <c r="KC67" s="14"/>
      <c r="KD67" s="14"/>
      <c r="KE67" s="14"/>
      <c r="KF67" s="14"/>
      <c r="KG67" s="14"/>
      <c r="KH67" s="14"/>
      <c r="KI67" s="14"/>
      <c r="KJ67" s="14"/>
      <c r="KK67" s="14"/>
      <c r="KL67" s="14"/>
      <c r="KM67" s="14"/>
      <c r="KN67" s="14"/>
      <c r="KO67" s="14"/>
      <c r="KP67" s="14"/>
      <c r="KQ67" s="14"/>
      <c r="KR67" s="14"/>
      <c r="KS67" s="14"/>
      <c r="KT67" s="14"/>
      <c r="KU67" s="14"/>
      <c r="KV67" s="14"/>
      <c r="KW67" s="14"/>
      <c r="KX67" s="14"/>
      <c r="KY67" s="14"/>
      <c r="KZ67" s="14"/>
      <c r="LA67" s="14"/>
      <c r="LB67" s="14"/>
      <c r="LC67" s="14"/>
      <c r="LD67" s="14"/>
      <c r="LE67" s="14"/>
      <c r="LF67" s="14"/>
      <c r="LG67" s="14"/>
      <c r="LH67" s="14"/>
      <c r="LI67" s="14"/>
      <c r="LJ67" s="14"/>
      <c r="LK67" s="14"/>
      <c r="LL67" s="14"/>
      <c r="LM67" s="14"/>
      <c r="LN67" s="14"/>
      <c r="LO67" s="14"/>
      <c r="LP67" s="14"/>
      <c r="LQ67" s="14"/>
      <c r="LR67" s="14"/>
      <c r="LS67" s="14"/>
      <c r="LT67" s="14"/>
      <c r="LU67" s="14"/>
      <c r="LV67" s="14"/>
      <c r="LW67" s="14"/>
      <c r="LX67" s="14"/>
      <c r="LY67" s="14"/>
      <c r="LZ67" s="14"/>
      <c r="MA67" s="14"/>
      <c r="MB67" s="14"/>
      <c r="MC67" s="14"/>
      <c r="MD67" s="14"/>
      <c r="ME67" s="14"/>
      <c r="MF67" s="14"/>
      <c r="MG67" s="14"/>
      <c r="MH67" s="14"/>
      <c r="MI67" s="14"/>
      <c r="MJ67" s="14"/>
      <c r="MK67" s="14"/>
      <c r="ML67" s="14"/>
      <c r="MM67" s="14"/>
      <c r="MN67" s="14"/>
      <c r="MO67" s="14"/>
      <c r="MP67" s="14"/>
      <c r="MQ67" s="14"/>
      <c r="MR67" s="14"/>
      <c r="MS67" s="14"/>
      <c r="MT67" s="14"/>
      <c r="MU67" s="14"/>
      <c r="MV67" s="14"/>
      <c r="MW67" s="14"/>
      <c r="MX67" s="14"/>
      <c r="MY67" s="14"/>
      <c r="MZ67" s="14"/>
      <c r="NA67" s="14"/>
      <c r="NB67" s="14"/>
      <c r="NC67" s="14"/>
      <c r="ND67" s="14"/>
      <c r="NE67" s="14"/>
      <c r="NF67" s="14"/>
      <c r="NG67" s="14"/>
      <c r="NH67" s="14"/>
      <c r="NI67" s="14"/>
      <c r="NJ67" s="14"/>
      <c r="NK67" s="14"/>
      <c r="NL67" s="14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</row>
    <row r="68" ht="13.5" customHeight="1">
      <c r="A68" s="2"/>
      <c r="B68" s="22"/>
      <c r="C68" s="2"/>
      <c r="D68" s="13"/>
      <c r="E68" s="3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4"/>
      <c r="FJ68" s="14"/>
      <c r="FK68" s="14"/>
      <c r="FL68" s="14"/>
      <c r="FM68" s="14"/>
      <c r="FN68" s="14"/>
      <c r="FO68" s="14"/>
      <c r="FP68" s="14"/>
      <c r="FQ68" s="14"/>
      <c r="FR68" s="14"/>
      <c r="FS68" s="14"/>
      <c r="FT68" s="14"/>
      <c r="FU68" s="14"/>
      <c r="FV68" s="14"/>
      <c r="FW68" s="14"/>
      <c r="FX68" s="14"/>
      <c r="FY68" s="14"/>
      <c r="FZ68" s="14"/>
      <c r="GA68" s="14"/>
      <c r="GB68" s="14"/>
      <c r="GC68" s="14"/>
      <c r="GD68" s="14"/>
      <c r="GE68" s="14"/>
      <c r="GF68" s="14"/>
      <c r="GG68" s="14"/>
      <c r="GH68" s="14"/>
      <c r="GI68" s="14"/>
      <c r="GJ68" s="14"/>
      <c r="GK68" s="14"/>
      <c r="GL68" s="14"/>
      <c r="GM68" s="14"/>
      <c r="GN68" s="14"/>
      <c r="GO68" s="14"/>
      <c r="GP68" s="14"/>
      <c r="GQ68" s="14"/>
      <c r="GR68" s="14"/>
      <c r="GS68" s="14"/>
      <c r="GT68" s="14"/>
      <c r="GU68" s="14"/>
      <c r="GV68" s="14"/>
      <c r="GW68" s="14"/>
      <c r="GX68" s="14"/>
      <c r="GY68" s="14"/>
      <c r="GZ68" s="14"/>
      <c r="HA68" s="14"/>
      <c r="HB68" s="14"/>
      <c r="HC68" s="14"/>
      <c r="HD68" s="14"/>
      <c r="HE68" s="14"/>
      <c r="HF68" s="14"/>
      <c r="HG68" s="14"/>
      <c r="HH68" s="14"/>
      <c r="HI68" s="14"/>
      <c r="HJ68" s="14"/>
      <c r="HK68" s="14"/>
      <c r="HL68" s="14"/>
      <c r="HM68" s="14"/>
      <c r="HN68" s="14"/>
      <c r="HO68" s="14"/>
      <c r="HP68" s="14"/>
      <c r="HQ68" s="14"/>
      <c r="HR68" s="14"/>
      <c r="HS68" s="14"/>
      <c r="HT68" s="14"/>
      <c r="HU68" s="14"/>
      <c r="HV68" s="14"/>
      <c r="HW68" s="14"/>
      <c r="HX68" s="14"/>
      <c r="HY68" s="14"/>
      <c r="HZ68" s="14"/>
      <c r="IA68" s="14"/>
      <c r="IB68" s="14"/>
      <c r="IC68" s="14"/>
      <c r="ID68" s="14"/>
      <c r="IE68" s="14"/>
      <c r="IF68" s="14"/>
      <c r="IG68" s="14"/>
      <c r="IH68" s="14"/>
      <c r="II68" s="14"/>
      <c r="IJ68" s="14"/>
      <c r="IK68" s="14"/>
      <c r="IL68" s="14"/>
      <c r="IM68" s="14"/>
      <c r="IN68" s="14"/>
      <c r="IO68" s="14"/>
      <c r="IP68" s="14"/>
      <c r="IQ68" s="14"/>
      <c r="IR68" s="14"/>
      <c r="IS68" s="14"/>
      <c r="IT68" s="14"/>
      <c r="IU68" s="14"/>
      <c r="IV68" s="14"/>
      <c r="IW68" s="14"/>
      <c r="IX68" s="14"/>
      <c r="IY68" s="14"/>
      <c r="IZ68" s="14"/>
      <c r="JA68" s="14"/>
      <c r="JB68" s="14"/>
      <c r="JC68" s="14"/>
      <c r="JD68" s="14"/>
      <c r="JE68" s="14"/>
      <c r="JF68" s="14"/>
      <c r="JG68" s="14"/>
      <c r="JH68" s="14"/>
      <c r="JI68" s="14"/>
      <c r="JJ68" s="14"/>
      <c r="JK68" s="14"/>
      <c r="JL68" s="14"/>
      <c r="JM68" s="14"/>
      <c r="JN68" s="14"/>
      <c r="JO68" s="14"/>
      <c r="JP68" s="14"/>
      <c r="JQ68" s="14"/>
      <c r="JR68" s="14"/>
      <c r="JS68" s="14"/>
      <c r="JT68" s="14"/>
      <c r="JU68" s="14"/>
      <c r="JV68" s="14"/>
      <c r="JW68" s="14"/>
      <c r="JX68" s="14"/>
      <c r="JY68" s="14"/>
      <c r="JZ68" s="14"/>
      <c r="KA68" s="14"/>
      <c r="KB68" s="14"/>
      <c r="KC68" s="14"/>
      <c r="KD68" s="14"/>
      <c r="KE68" s="14"/>
      <c r="KF68" s="14"/>
      <c r="KG68" s="14"/>
      <c r="KH68" s="14"/>
      <c r="KI68" s="14"/>
      <c r="KJ68" s="14"/>
      <c r="KK68" s="14"/>
      <c r="KL68" s="14"/>
      <c r="KM68" s="14"/>
      <c r="KN68" s="14"/>
      <c r="KO68" s="14"/>
      <c r="KP68" s="14"/>
      <c r="KQ68" s="14"/>
      <c r="KR68" s="14"/>
      <c r="KS68" s="14"/>
      <c r="KT68" s="14"/>
      <c r="KU68" s="14"/>
      <c r="KV68" s="14"/>
      <c r="KW68" s="14"/>
      <c r="KX68" s="14"/>
      <c r="KY68" s="14"/>
      <c r="KZ68" s="14"/>
      <c r="LA68" s="14"/>
      <c r="LB68" s="14"/>
      <c r="LC68" s="14"/>
      <c r="LD68" s="14"/>
      <c r="LE68" s="14"/>
      <c r="LF68" s="14"/>
      <c r="LG68" s="14"/>
      <c r="LH68" s="14"/>
      <c r="LI68" s="14"/>
      <c r="LJ68" s="14"/>
      <c r="LK68" s="14"/>
      <c r="LL68" s="14"/>
      <c r="LM68" s="14"/>
      <c r="LN68" s="14"/>
      <c r="LO68" s="14"/>
      <c r="LP68" s="14"/>
      <c r="LQ68" s="14"/>
      <c r="LR68" s="14"/>
      <c r="LS68" s="14"/>
      <c r="LT68" s="14"/>
      <c r="LU68" s="14"/>
      <c r="LV68" s="14"/>
      <c r="LW68" s="14"/>
      <c r="LX68" s="14"/>
      <c r="LY68" s="14"/>
      <c r="LZ68" s="14"/>
      <c r="MA68" s="14"/>
      <c r="MB68" s="14"/>
      <c r="MC68" s="14"/>
      <c r="MD68" s="14"/>
      <c r="ME68" s="14"/>
      <c r="MF68" s="14"/>
      <c r="MG68" s="14"/>
      <c r="MH68" s="14"/>
      <c r="MI68" s="14"/>
      <c r="MJ68" s="14"/>
      <c r="MK68" s="14"/>
      <c r="ML68" s="14"/>
      <c r="MM68" s="14"/>
      <c r="MN68" s="14"/>
      <c r="MO68" s="14"/>
      <c r="MP68" s="14"/>
      <c r="MQ68" s="14"/>
      <c r="MR68" s="14"/>
      <c r="MS68" s="14"/>
      <c r="MT68" s="14"/>
      <c r="MU68" s="14"/>
      <c r="MV68" s="14"/>
      <c r="MW68" s="14"/>
      <c r="MX68" s="14"/>
      <c r="MY68" s="14"/>
      <c r="MZ68" s="14"/>
      <c r="NA68" s="14"/>
      <c r="NB68" s="14"/>
      <c r="NC68" s="14"/>
      <c r="ND68" s="14"/>
      <c r="NE68" s="14"/>
      <c r="NF68" s="14"/>
      <c r="NG68" s="14"/>
      <c r="NH68" s="14"/>
      <c r="NI68" s="14"/>
      <c r="NJ68" s="14"/>
      <c r="NK68" s="14"/>
      <c r="NL68" s="14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</row>
    <row r="69" ht="13.5" customHeight="1">
      <c r="A69" s="2"/>
      <c r="B69" s="22"/>
      <c r="C69" s="2"/>
      <c r="D69" s="13"/>
      <c r="E69" s="3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  <c r="FM69" s="14"/>
      <c r="FN69" s="14"/>
      <c r="FO69" s="14"/>
      <c r="FP69" s="14"/>
      <c r="FQ69" s="14"/>
      <c r="FR69" s="14"/>
      <c r="FS69" s="14"/>
      <c r="FT69" s="14"/>
      <c r="FU69" s="14"/>
      <c r="FV69" s="14"/>
      <c r="FW69" s="14"/>
      <c r="FX69" s="14"/>
      <c r="FY69" s="14"/>
      <c r="FZ69" s="14"/>
      <c r="GA69" s="14"/>
      <c r="GB69" s="14"/>
      <c r="GC69" s="14"/>
      <c r="GD69" s="14"/>
      <c r="GE69" s="14"/>
      <c r="GF69" s="14"/>
      <c r="GG69" s="14"/>
      <c r="GH69" s="14"/>
      <c r="GI69" s="14"/>
      <c r="GJ69" s="14"/>
      <c r="GK69" s="14"/>
      <c r="GL69" s="14"/>
      <c r="GM69" s="14"/>
      <c r="GN69" s="14"/>
      <c r="GO69" s="14"/>
      <c r="GP69" s="14"/>
      <c r="GQ69" s="14"/>
      <c r="GR69" s="14"/>
      <c r="GS69" s="14"/>
      <c r="GT69" s="14"/>
      <c r="GU69" s="14"/>
      <c r="GV69" s="14"/>
      <c r="GW69" s="14"/>
      <c r="GX69" s="14"/>
      <c r="GY69" s="14"/>
      <c r="GZ69" s="14"/>
      <c r="HA69" s="14"/>
      <c r="HB69" s="14"/>
      <c r="HC69" s="14"/>
      <c r="HD69" s="14"/>
      <c r="HE69" s="14"/>
      <c r="HF69" s="14"/>
      <c r="HG69" s="14"/>
      <c r="HH69" s="14"/>
      <c r="HI69" s="14"/>
      <c r="HJ69" s="14"/>
      <c r="HK69" s="14"/>
      <c r="HL69" s="14"/>
      <c r="HM69" s="14"/>
      <c r="HN69" s="14"/>
      <c r="HO69" s="14"/>
      <c r="HP69" s="14"/>
      <c r="HQ69" s="14"/>
      <c r="HR69" s="14"/>
      <c r="HS69" s="14"/>
      <c r="HT69" s="14"/>
      <c r="HU69" s="14"/>
      <c r="HV69" s="14"/>
      <c r="HW69" s="14"/>
      <c r="HX69" s="14"/>
      <c r="HY69" s="14"/>
      <c r="HZ69" s="14"/>
      <c r="IA69" s="14"/>
      <c r="IB69" s="14"/>
      <c r="IC69" s="14"/>
      <c r="ID69" s="14"/>
      <c r="IE69" s="14"/>
      <c r="IF69" s="14"/>
      <c r="IG69" s="14"/>
      <c r="IH69" s="14"/>
      <c r="II69" s="14"/>
      <c r="IJ69" s="14"/>
      <c r="IK69" s="14"/>
      <c r="IL69" s="14"/>
      <c r="IM69" s="14"/>
      <c r="IN69" s="14"/>
      <c r="IO69" s="14"/>
      <c r="IP69" s="14"/>
      <c r="IQ69" s="14"/>
      <c r="IR69" s="14"/>
      <c r="IS69" s="14"/>
      <c r="IT69" s="14"/>
      <c r="IU69" s="14"/>
      <c r="IV69" s="14"/>
      <c r="IW69" s="14"/>
      <c r="IX69" s="14"/>
      <c r="IY69" s="14"/>
      <c r="IZ69" s="14"/>
      <c r="JA69" s="14"/>
      <c r="JB69" s="14"/>
      <c r="JC69" s="14"/>
      <c r="JD69" s="14"/>
      <c r="JE69" s="14"/>
      <c r="JF69" s="14"/>
      <c r="JG69" s="14"/>
      <c r="JH69" s="14"/>
      <c r="JI69" s="14"/>
      <c r="JJ69" s="14"/>
      <c r="JK69" s="14"/>
      <c r="JL69" s="14"/>
      <c r="JM69" s="14"/>
      <c r="JN69" s="14"/>
      <c r="JO69" s="14"/>
      <c r="JP69" s="14"/>
      <c r="JQ69" s="14"/>
      <c r="JR69" s="14"/>
      <c r="JS69" s="14"/>
      <c r="JT69" s="14"/>
      <c r="JU69" s="14"/>
      <c r="JV69" s="14"/>
      <c r="JW69" s="14"/>
      <c r="JX69" s="14"/>
      <c r="JY69" s="14"/>
      <c r="JZ69" s="14"/>
      <c r="KA69" s="14"/>
      <c r="KB69" s="14"/>
      <c r="KC69" s="14"/>
      <c r="KD69" s="14"/>
      <c r="KE69" s="14"/>
      <c r="KF69" s="14"/>
      <c r="KG69" s="14"/>
      <c r="KH69" s="14"/>
      <c r="KI69" s="14"/>
      <c r="KJ69" s="14"/>
      <c r="KK69" s="14"/>
      <c r="KL69" s="14"/>
      <c r="KM69" s="14"/>
      <c r="KN69" s="14"/>
      <c r="KO69" s="14"/>
      <c r="KP69" s="14"/>
      <c r="KQ69" s="14"/>
      <c r="KR69" s="14"/>
      <c r="KS69" s="14"/>
      <c r="KT69" s="14"/>
      <c r="KU69" s="14"/>
      <c r="KV69" s="14"/>
      <c r="KW69" s="14"/>
      <c r="KX69" s="14"/>
      <c r="KY69" s="14"/>
      <c r="KZ69" s="14"/>
      <c r="LA69" s="14"/>
      <c r="LB69" s="14"/>
      <c r="LC69" s="14"/>
      <c r="LD69" s="14"/>
      <c r="LE69" s="14"/>
      <c r="LF69" s="14"/>
      <c r="LG69" s="14"/>
      <c r="LH69" s="14"/>
      <c r="LI69" s="14"/>
      <c r="LJ69" s="14"/>
      <c r="LK69" s="14"/>
      <c r="LL69" s="14"/>
      <c r="LM69" s="14"/>
      <c r="LN69" s="14"/>
      <c r="LO69" s="14"/>
      <c r="LP69" s="14"/>
      <c r="LQ69" s="14"/>
      <c r="LR69" s="14"/>
      <c r="LS69" s="14"/>
      <c r="LT69" s="14"/>
      <c r="LU69" s="14"/>
      <c r="LV69" s="14"/>
      <c r="LW69" s="14"/>
      <c r="LX69" s="14"/>
      <c r="LY69" s="14"/>
      <c r="LZ69" s="14"/>
      <c r="MA69" s="14"/>
      <c r="MB69" s="14"/>
      <c r="MC69" s="14"/>
      <c r="MD69" s="14"/>
      <c r="ME69" s="14"/>
      <c r="MF69" s="14"/>
      <c r="MG69" s="14"/>
      <c r="MH69" s="14"/>
      <c r="MI69" s="14"/>
      <c r="MJ69" s="14"/>
      <c r="MK69" s="14"/>
      <c r="ML69" s="14"/>
      <c r="MM69" s="14"/>
      <c r="MN69" s="14"/>
      <c r="MO69" s="14"/>
      <c r="MP69" s="14"/>
      <c r="MQ69" s="14"/>
      <c r="MR69" s="14"/>
      <c r="MS69" s="14"/>
      <c r="MT69" s="14"/>
      <c r="MU69" s="14"/>
      <c r="MV69" s="14"/>
      <c r="MW69" s="14"/>
      <c r="MX69" s="14"/>
      <c r="MY69" s="14"/>
      <c r="MZ69" s="14"/>
      <c r="NA69" s="14"/>
      <c r="NB69" s="14"/>
      <c r="NC69" s="14"/>
      <c r="ND69" s="14"/>
      <c r="NE69" s="14"/>
      <c r="NF69" s="14"/>
      <c r="NG69" s="14"/>
      <c r="NH69" s="14"/>
      <c r="NI69" s="14"/>
      <c r="NJ69" s="14"/>
      <c r="NK69" s="14"/>
      <c r="NL69" s="14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</row>
    <row r="70" ht="13.5" customHeight="1">
      <c r="A70" s="2"/>
      <c r="B70" s="22"/>
      <c r="C70" s="2"/>
      <c r="D70" s="13"/>
      <c r="E70" s="3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  <c r="FH70" s="14"/>
      <c r="FI70" s="14"/>
      <c r="FJ70" s="14"/>
      <c r="FK70" s="14"/>
      <c r="FL70" s="14"/>
      <c r="FM70" s="14"/>
      <c r="FN70" s="14"/>
      <c r="FO70" s="14"/>
      <c r="FP70" s="14"/>
      <c r="FQ70" s="14"/>
      <c r="FR70" s="14"/>
      <c r="FS70" s="14"/>
      <c r="FT70" s="14"/>
      <c r="FU70" s="14"/>
      <c r="FV70" s="14"/>
      <c r="FW70" s="14"/>
      <c r="FX70" s="14"/>
      <c r="FY70" s="14"/>
      <c r="FZ70" s="14"/>
      <c r="GA70" s="14"/>
      <c r="GB70" s="14"/>
      <c r="GC70" s="14"/>
      <c r="GD70" s="14"/>
      <c r="GE70" s="14"/>
      <c r="GF70" s="14"/>
      <c r="GG70" s="14"/>
      <c r="GH70" s="14"/>
      <c r="GI70" s="14"/>
      <c r="GJ70" s="14"/>
      <c r="GK70" s="14"/>
      <c r="GL70" s="14"/>
      <c r="GM70" s="14"/>
      <c r="GN70" s="14"/>
      <c r="GO70" s="14"/>
      <c r="GP70" s="14"/>
      <c r="GQ70" s="14"/>
      <c r="GR70" s="14"/>
      <c r="GS70" s="14"/>
      <c r="GT70" s="14"/>
      <c r="GU70" s="14"/>
      <c r="GV70" s="14"/>
      <c r="GW70" s="14"/>
      <c r="GX70" s="14"/>
      <c r="GY70" s="14"/>
      <c r="GZ70" s="14"/>
      <c r="HA70" s="14"/>
      <c r="HB70" s="14"/>
      <c r="HC70" s="14"/>
      <c r="HD70" s="14"/>
      <c r="HE70" s="14"/>
      <c r="HF70" s="14"/>
      <c r="HG70" s="14"/>
      <c r="HH70" s="14"/>
      <c r="HI70" s="14"/>
      <c r="HJ70" s="14"/>
      <c r="HK70" s="14"/>
      <c r="HL70" s="14"/>
      <c r="HM70" s="14"/>
      <c r="HN70" s="14"/>
      <c r="HO70" s="14"/>
      <c r="HP70" s="14"/>
      <c r="HQ70" s="14"/>
      <c r="HR70" s="14"/>
      <c r="HS70" s="14"/>
      <c r="HT70" s="14"/>
      <c r="HU70" s="14"/>
      <c r="HV70" s="14"/>
      <c r="HW70" s="14"/>
      <c r="HX70" s="14"/>
      <c r="HY70" s="14"/>
      <c r="HZ70" s="14"/>
      <c r="IA70" s="14"/>
      <c r="IB70" s="14"/>
      <c r="IC70" s="14"/>
      <c r="ID70" s="14"/>
      <c r="IE70" s="14"/>
      <c r="IF70" s="14"/>
      <c r="IG70" s="14"/>
      <c r="IH70" s="14"/>
      <c r="II70" s="14"/>
      <c r="IJ70" s="14"/>
      <c r="IK70" s="14"/>
      <c r="IL70" s="14"/>
      <c r="IM70" s="14"/>
      <c r="IN70" s="14"/>
      <c r="IO70" s="14"/>
      <c r="IP70" s="14"/>
      <c r="IQ70" s="14"/>
      <c r="IR70" s="14"/>
      <c r="IS70" s="14"/>
      <c r="IT70" s="14"/>
      <c r="IU70" s="14"/>
      <c r="IV70" s="14"/>
      <c r="IW70" s="14"/>
      <c r="IX70" s="14"/>
      <c r="IY70" s="14"/>
      <c r="IZ70" s="14"/>
      <c r="JA70" s="14"/>
      <c r="JB70" s="14"/>
      <c r="JC70" s="14"/>
      <c r="JD70" s="14"/>
      <c r="JE70" s="14"/>
      <c r="JF70" s="14"/>
      <c r="JG70" s="14"/>
      <c r="JH70" s="14"/>
      <c r="JI70" s="14"/>
      <c r="JJ70" s="14"/>
      <c r="JK70" s="14"/>
      <c r="JL70" s="14"/>
      <c r="JM70" s="14"/>
      <c r="JN70" s="14"/>
      <c r="JO70" s="14"/>
      <c r="JP70" s="14"/>
      <c r="JQ70" s="14"/>
      <c r="JR70" s="14"/>
      <c r="JS70" s="14"/>
      <c r="JT70" s="14"/>
      <c r="JU70" s="14"/>
      <c r="JV70" s="14"/>
      <c r="JW70" s="14"/>
      <c r="JX70" s="14"/>
      <c r="JY70" s="14"/>
      <c r="JZ70" s="14"/>
      <c r="KA70" s="14"/>
      <c r="KB70" s="14"/>
      <c r="KC70" s="14"/>
      <c r="KD70" s="14"/>
      <c r="KE70" s="14"/>
      <c r="KF70" s="14"/>
      <c r="KG70" s="14"/>
      <c r="KH70" s="14"/>
      <c r="KI70" s="14"/>
      <c r="KJ70" s="14"/>
      <c r="KK70" s="14"/>
      <c r="KL70" s="14"/>
      <c r="KM70" s="14"/>
      <c r="KN70" s="14"/>
      <c r="KO70" s="14"/>
      <c r="KP70" s="14"/>
      <c r="KQ70" s="14"/>
      <c r="KR70" s="14"/>
      <c r="KS70" s="14"/>
      <c r="KT70" s="14"/>
      <c r="KU70" s="14"/>
      <c r="KV70" s="14"/>
      <c r="KW70" s="14"/>
      <c r="KX70" s="14"/>
      <c r="KY70" s="14"/>
      <c r="KZ70" s="14"/>
      <c r="LA70" s="14"/>
      <c r="LB70" s="14"/>
      <c r="LC70" s="14"/>
      <c r="LD70" s="14"/>
      <c r="LE70" s="14"/>
      <c r="LF70" s="14"/>
      <c r="LG70" s="14"/>
      <c r="LH70" s="14"/>
      <c r="LI70" s="14"/>
      <c r="LJ70" s="14"/>
      <c r="LK70" s="14"/>
      <c r="LL70" s="14"/>
      <c r="LM70" s="14"/>
      <c r="LN70" s="14"/>
      <c r="LO70" s="14"/>
      <c r="LP70" s="14"/>
      <c r="LQ70" s="14"/>
      <c r="LR70" s="14"/>
      <c r="LS70" s="14"/>
      <c r="LT70" s="14"/>
      <c r="LU70" s="14"/>
      <c r="LV70" s="14"/>
      <c r="LW70" s="14"/>
      <c r="LX70" s="14"/>
      <c r="LY70" s="14"/>
      <c r="LZ70" s="14"/>
      <c r="MA70" s="14"/>
      <c r="MB70" s="14"/>
      <c r="MC70" s="14"/>
      <c r="MD70" s="14"/>
      <c r="ME70" s="14"/>
      <c r="MF70" s="14"/>
      <c r="MG70" s="14"/>
      <c r="MH70" s="14"/>
      <c r="MI70" s="14"/>
      <c r="MJ70" s="14"/>
      <c r="MK70" s="14"/>
      <c r="ML70" s="14"/>
      <c r="MM70" s="14"/>
      <c r="MN70" s="14"/>
      <c r="MO70" s="14"/>
      <c r="MP70" s="14"/>
      <c r="MQ70" s="14"/>
      <c r="MR70" s="14"/>
      <c r="MS70" s="14"/>
      <c r="MT70" s="14"/>
      <c r="MU70" s="14"/>
      <c r="MV70" s="14"/>
      <c r="MW70" s="14"/>
      <c r="MX70" s="14"/>
      <c r="MY70" s="14"/>
      <c r="MZ70" s="14"/>
      <c r="NA70" s="14"/>
      <c r="NB70" s="14"/>
      <c r="NC70" s="14"/>
      <c r="ND70" s="14"/>
      <c r="NE70" s="14"/>
      <c r="NF70" s="14"/>
      <c r="NG70" s="14"/>
      <c r="NH70" s="14"/>
      <c r="NI70" s="14"/>
      <c r="NJ70" s="14"/>
      <c r="NK70" s="14"/>
      <c r="NL70" s="14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</row>
    <row r="71" ht="13.5" customHeight="1">
      <c r="A71" s="2"/>
      <c r="B71" s="22"/>
      <c r="C71" s="2"/>
      <c r="D71" s="13"/>
      <c r="E71" s="3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  <c r="FH71" s="14"/>
      <c r="FI71" s="14"/>
      <c r="FJ71" s="14"/>
      <c r="FK71" s="14"/>
      <c r="FL71" s="14"/>
      <c r="FM71" s="14"/>
      <c r="FN71" s="14"/>
      <c r="FO71" s="14"/>
      <c r="FP71" s="14"/>
      <c r="FQ71" s="14"/>
      <c r="FR71" s="14"/>
      <c r="FS71" s="14"/>
      <c r="FT71" s="14"/>
      <c r="FU71" s="14"/>
      <c r="FV71" s="14"/>
      <c r="FW71" s="14"/>
      <c r="FX71" s="14"/>
      <c r="FY71" s="14"/>
      <c r="FZ71" s="14"/>
      <c r="GA71" s="14"/>
      <c r="GB71" s="14"/>
      <c r="GC71" s="14"/>
      <c r="GD71" s="14"/>
      <c r="GE71" s="14"/>
      <c r="GF71" s="14"/>
      <c r="GG71" s="14"/>
      <c r="GH71" s="14"/>
      <c r="GI71" s="14"/>
      <c r="GJ71" s="14"/>
      <c r="GK71" s="14"/>
      <c r="GL71" s="14"/>
      <c r="GM71" s="14"/>
      <c r="GN71" s="14"/>
      <c r="GO71" s="14"/>
      <c r="GP71" s="14"/>
      <c r="GQ71" s="14"/>
      <c r="GR71" s="14"/>
      <c r="GS71" s="14"/>
      <c r="GT71" s="14"/>
      <c r="GU71" s="14"/>
      <c r="GV71" s="14"/>
      <c r="GW71" s="14"/>
      <c r="GX71" s="14"/>
      <c r="GY71" s="14"/>
      <c r="GZ71" s="14"/>
      <c r="HA71" s="14"/>
      <c r="HB71" s="14"/>
      <c r="HC71" s="14"/>
      <c r="HD71" s="14"/>
      <c r="HE71" s="14"/>
      <c r="HF71" s="14"/>
      <c r="HG71" s="14"/>
      <c r="HH71" s="14"/>
      <c r="HI71" s="14"/>
      <c r="HJ71" s="14"/>
      <c r="HK71" s="14"/>
      <c r="HL71" s="14"/>
      <c r="HM71" s="14"/>
      <c r="HN71" s="14"/>
      <c r="HO71" s="14"/>
      <c r="HP71" s="14"/>
      <c r="HQ71" s="14"/>
      <c r="HR71" s="14"/>
      <c r="HS71" s="14"/>
      <c r="HT71" s="14"/>
      <c r="HU71" s="14"/>
      <c r="HV71" s="14"/>
      <c r="HW71" s="14"/>
      <c r="HX71" s="14"/>
      <c r="HY71" s="14"/>
      <c r="HZ71" s="14"/>
      <c r="IA71" s="14"/>
      <c r="IB71" s="14"/>
      <c r="IC71" s="14"/>
      <c r="ID71" s="14"/>
      <c r="IE71" s="14"/>
      <c r="IF71" s="14"/>
      <c r="IG71" s="14"/>
      <c r="IH71" s="14"/>
      <c r="II71" s="14"/>
      <c r="IJ71" s="14"/>
      <c r="IK71" s="14"/>
      <c r="IL71" s="14"/>
      <c r="IM71" s="14"/>
      <c r="IN71" s="14"/>
      <c r="IO71" s="14"/>
      <c r="IP71" s="14"/>
      <c r="IQ71" s="14"/>
      <c r="IR71" s="14"/>
      <c r="IS71" s="14"/>
      <c r="IT71" s="14"/>
      <c r="IU71" s="14"/>
      <c r="IV71" s="14"/>
      <c r="IW71" s="14"/>
      <c r="IX71" s="14"/>
      <c r="IY71" s="14"/>
      <c r="IZ71" s="14"/>
      <c r="JA71" s="14"/>
      <c r="JB71" s="14"/>
      <c r="JC71" s="14"/>
      <c r="JD71" s="14"/>
      <c r="JE71" s="14"/>
      <c r="JF71" s="14"/>
      <c r="JG71" s="14"/>
      <c r="JH71" s="14"/>
      <c r="JI71" s="14"/>
      <c r="JJ71" s="14"/>
      <c r="JK71" s="14"/>
      <c r="JL71" s="14"/>
      <c r="JM71" s="14"/>
      <c r="JN71" s="14"/>
      <c r="JO71" s="14"/>
      <c r="JP71" s="14"/>
      <c r="JQ71" s="14"/>
      <c r="JR71" s="14"/>
      <c r="JS71" s="14"/>
      <c r="JT71" s="14"/>
      <c r="JU71" s="14"/>
      <c r="JV71" s="14"/>
      <c r="JW71" s="14"/>
      <c r="JX71" s="14"/>
      <c r="JY71" s="14"/>
      <c r="JZ71" s="14"/>
      <c r="KA71" s="14"/>
      <c r="KB71" s="14"/>
      <c r="KC71" s="14"/>
      <c r="KD71" s="14"/>
      <c r="KE71" s="14"/>
      <c r="KF71" s="14"/>
      <c r="KG71" s="14"/>
      <c r="KH71" s="14"/>
      <c r="KI71" s="14"/>
      <c r="KJ71" s="14"/>
      <c r="KK71" s="14"/>
      <c r="KL71" s="14"/>
      <c r="KM71" s="14"/>
      <c r="KN71" s="14"/>
      <c r="KO71" s="14"/>
      <c r="KP71" s="14"/>
      <c r="KQ71" s="14"/>
      <c r="KR71" s="14"/>
      <c r="KS71" s="14"/>
      <c r="KT71" s="14"/>
      <c r="KU71" s="14"/>
      <c r="KV71" s="14"/>
      <c r="KW71" s="14"/>
      <c r="KX71" s="14"/>
      <c r="KY71" s="14"/>
      <c r="KZ71" s="14"/>
      <c r="LA71" s="14"/>
      <c r="LB71" s="14"/>
      <c r="LC71" s="14"/>
      <c r="LD71" s="14"/>
      <c r="LE71" s="14"/>
      <c r="LF71" s="14"/>
      <c r="LG71" s="14"/>
      <c r="LH71" s="14"/>
      <c r="LI71" s="14"/>
      <c r="LJ71" s="14"/>
      <c r="LK71" s="14"/>
      <c r="LL71" s="14"/>
      <c r="LM71" s="14"/>
      <c r="LN71" s="14"/>
      <c r="LO71" s="14"/>
      <c r="LP71" s="14"/>
      <c r="LQ71" s="14"/>
      <c r="LR71" s="14"/>
      <c r="LS71" s="14"/>
      <c r="LT71" s="14"/>
      <c r="LU71" s="14"/>
      <c r="LV71" s="14"/>
      <c r="LW71" s="14"/>
      <c r="LX71" s="14"/>
      <c r="LY71" s="14"/>
      <c r="LZ71" s="14"/>
      <c r="MA71" s="14"/>
      <c r="MB71" s="14"/>
      <c r="MC71" s="14"/>
      <c r="MD71" s="14"/>
      <c r="ME71" s="14"/>
      <c r="MF71" s="14"/>
      <c r="MG71" s="14"/>
      <c r="MH71" s="14"/>
      <c r="MI71" s="14"/>
      <c r="MJ71" s="14"/>
      <c r="MK71" s="14"/>
      <c r="ML71" s="14"/>
      <c r="MM71" s="14"/>
      <c r="MN71" s="14"/>
      <c r="MO71" s="14"/>
      <c r="MP71" s="14"/>
      <c r="MQ71" s="14"/>
      <c r="MR71" s="14"/>
      <c r="MS71" s="14"/>
      <c r="MT71" s="14"/>
      <c r="MU71" s="14"/>
      <c r="MV71" s="14"/>
      <c r="MW71" s="14"/>
      <c r="MX71" s="14"/>
      <c r="MY71" s="14"/>
      <c r="MZ71" s="14"/>
      <c r="NA71" s="14"/>
      <c r="NB71" s="14"/>
      <c r="NC71" s="14"/>
      <c r="ND71" s="14"/>
      <c r="NE71" s="14"/>
      <c r="NF71" s="14"/>
      <c r="NG71" s="14"/>
      <c r="NH71" s="14"/>
      <c r="NI71" s="14"/>
      <c r="NJ71" s="14"/>
      <c r="NK71" s="14"/>
      <c r="NL71" s="14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</row>
    <row r="72" ht="13.5" customHeight="1">
      <c r="A72" s="2"/>
      <c r="B72" s="22"/>
      <c r="C72" s="2"/>
      <c r="D72" s="13"/>
      <c r="E72" s="3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4"/>
      <c r="FJ72" s="14"/>
      <c r="FK72" s="14"/>
      <c r="FL72" s="14"/>
      <c r="FM72" s="14"/>
      <c r="FN72" s="14"/>
      <c r="FO72" s="14"/>
      <c r="FP72" s="14"/>
      <c r="FQ72" s="14"/>
      <c r="FR72" s="14"/>
      <c r="FS72" s="14"/>
      <c r="FT72" s="14"/>
      <c r="FU72" s="14"/>
      <c r="FV72" s="14"/>
      <c r="FW72" s="14"/>
      <c r="FX72" s="14"/>
      <c r="FY72" s="14"/>
      <c r="FZ72" s="14"/>
      <c r="GA72" s="14"/>
      <c r="GB72" s="14"/>
      <c r="GC72" s="14"/>
      <c r="GD72" s="14"/>
      <c r="GE72" s="14"/>
      <c r="GF72" s="14"/>
      <c r="GG72" s="14"/>
      <c r="GH72" s="14"/>
      <c r="GI72" s="14"/>
      <c r="GJ72" s="14"/>
      <c r="GK72" s="14"/>
      <c r="GL72" s="14"/>
      <c r="GM72" s="14"/>
      <c r="GN72" s="14"/>
      <c r="GO72" s="14"/>
      <c r="GP72" s="14"/>
      <c r="GQ72" s="14"/>
      <c r="GR72" s="14"/>
      <c r="GS72" s="14"/>
      <c r="GT72" s="14"/>
      <c r="GU72" s="14"/>
      <c r="GV72" s="14"/>
      <c r="GW72" s="14"/>
      <c r="GX72" s="14"/>
      <c r="GY72" s="14"/>
      <c r="GZ72" s="14"/>
      <c r="HA72" s="14"/>
      <c r="HB72" s="14"/>
      <c r="HC72" s="14"/>
      <c r="HD72" s="14"/>
      <c r="HE72" s="14"/>
      <c r="HF72" s="14"/>
      <c r="HG72" s="14"/>
      <c r="HH72" s="14"/>
      <c r="HI72" s="14"/>
      <c r="HJ72" s="14"/>
      <c r="HK72" s="14"/>
      <c r="HL72" s="14"/>
      <c r="HM72" s="14"/>
      <c r="HN72" s="14"/>
      <c r="HO72" s="14"/>
      <c r="HP72" s="14"/>
      <c r="HQ72" s="14"/>
      <c r="HR72" s="14"/>
      <c r="HS72" s="14"/>
      <c r="HT72" s="14"/>
      <c r="HU72" s="14"/>
      <c r="HV72" s="14"/>
      <c r="HW72" s="14"/>
      <c r="HX72" s="14"/>
      <c r="HY72" s="14"/>
      <c r="HZ72" s="14"/>
      <c r="IA72" s="14"/>
      <c r="IB72" s="14"/>
      <c r="IC72" s="14"/>
      <c r="ID72" s="14"/>
      <c r="IE72" s="14"/>
      <c r="IF72" s="14"/>
      <c r="IG72" s="14"/>
      <c r="IH72" s="14"/>
      <c r="II72" s="14"/>
      <c r="IJ72" s="14"/>
      <c r="IK72" s="14"/>
      <c r="IL72" s="14"/>
      <c r="IM72" s="14"/>
      <c r="IN72" s="14"/>
      <c r="IO72" s="14"/>
      <c r="IP72" s="14"/>
      <c r="IQ72" s="14"/>
      <c r="IR72" s="14"/>
      <c r="IS72" s="14"/>
      <c r="IT72" s="14"/>
      <c r="IU72" s="14"/>
      <c r="IV72" s="14"/>
      <c r="IW72" s="14"/>
      <c r="IX72" s="14"/>
      <c r="IY72" s="14"/>
      <c r="IZ72" s="14"/>
      <c r="JA72" s="14"/>
      <c r="JB72" s="14"/>
      <c r="JC72" s="14"/>
      <c r="JD72" s="14"/>
      <c r="JE72" s="14"/>
      <c r="JF72" s="14"/>
      <c r="JG72" s="14"/>
      <c r="JH72" s="14"/>
      <c r="JI72" s="14"/>
      <c r="JJ72" s="14"/>
      <c r="JK72" s="14"/>
      <c r="JL72" s="14"/>
      <c r="JM72" s="14"/>
      <c r="JN72" s="14"/>
      <c r="JO72" s="14"/>
      <c r="JP72" s="14"/>
      <c r="JQ72" s="14"/>
      <c r="JR72" s="14"/>
      <c r="JS72" s="14"/>
      <c r="JT72" s="14"/>
      <c r="JU72" s="14"/>
      <c r="JV72" s="14"/>
      <c r="JW72" s="14"/>
      <c r="JX72" s="14"/>
      <c r="JY72" s="14"/>
      <c r="JZ72" s="14"/>
      <c r="KA72" s="14"/>
      <c r="KB72" s="14"/>
      <c r="KC72" s="14"/>
      <c r="KD72" s="14"/>
      <c r="KE72" s="14"/>
      <c r="KF72" s="14"/>
      <c r="KG72" s="14"/>
      <c r="KH72" s="14"/>
      <c r="KI72" s="14"/>
      <c r="KJ72" s="14"/>
      <c r="KK72" s="14"/>
      <c r="KL72" s="14"/>
      <c r="KM72" s="14"/>
      <c r="KN72" s="14"/>
      <c r="KO72" s="14"/>
      <c r="KP72" s="14"/>
      <c r="KQ72" s="14"/>
      <c r="KR72" s="14"/>
      <c r="KS72" s="14"/>
      <c r="KT72" s="14"/>
      <c r="KU72" s="14"/>
      <c r="KV72" s="14"/>
      <c r="KW72" s="14"/>
      <c r="KX72" s="14"/>
      <c r="KY72" s="14"/>
      <c r="KZ72" s="14"/>
      <c r="LA72" s="14"/>
      <c r="LB72" s="14"/>
      <c r="LC72" s="14"/>
      <c r="LD72" s="14"/>
      <c r="LE72" s="14"/>
      <c r="LF72" s="14"/>
      <c r="LG72" s="14"/>
      <c r="LH72" s="14"/>
      <c r="LI72" s="14"/>
      <c r="LJ72" s="14"/>
      <c r="LK72" s="14"/>
      <c r="LL72" s="14"/>
      <c r="LM72" s="14"/>
      <c r="LN72" s="14"/>
      <c r="LO72" s="14"/>
      <c r="LP72" s="14"/>
      <c r="LQ72" s="14"/>
      <c r="LR72" s="14"/>
      <c r="LS72" s="14"/>
      <c r="LT72" s="14"/>
      <c r="LU72" s="14"/>
      <c r="LV72" s="14"/>
      <c r="LW72" s="14"/>
      <c r="LX72" s="14"/>
      <c r="LY72" s="14"/>
      <c r="LZ72" s="14"/>
      <c r="MA72" s="14"/>
      <c r="MB72" s="14"/>
      <c r="MC72" s="14"/>
      <c r="MD72" s="14"/>
      <c r="ME72" s="14"/>
      <c r="MF72" s="14"/>
      <c r="MG72" s="14"/>
      <c r="MH72" s="14"/>
      <c r="MI72" s="14"/>
      <c r="MJ72" s="14"/>
      <c r="MK72" s="14"/>
      <c r="ML72" s="14"/>
      <c r="MM72" s="14"/>
      <c r="MN72" s="14"/>
      <c r="MO72" s="14"/>
      <c r="MP72" s="14"/>
      <c r="MQ72" s="14"/>
      <c r="MR72" s="14"/>
      <c r="MS72" s="14"/>
      <c r="MT72" s="14"/>
      <c r="MU72" s="14"/>
      <c r="MV72" s="14"/>
      <c r="MW72" s="14"/>
      <c r="MX72" s="14"/>
      <c r="MY72" s="14"/>
      <c r="MZ72" s="14"/>
      <c r="NA72" s="14"/>
      <c r="NB72" s="14"/>
      <c r="NC72" s="14"/>
      <c r="ND72" s="14"/>
      <c r="NE72" s="14"/>
      <c r="NF72" s="14"/>
      <c r="NG72" s="14"/>
      <c r="NH72" s="14"/>
      <c r="NI72" s="14"/>
      <c r="NJ72" s="14"/>
      <c r="NK72" s="14"/>
      <c r="NL72" s="14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</row>
    <row r="73" ht="13.5" customHeight="1">
      <c r="A73" s="2"/>
      <c r="B73" s="22"/>
      <c r="C73" s="2"/>
      <c r="D73" s="13"/>
      <c r="E73" s="3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K73" s="14"/>
      <c r="FL73" s="14"/>
      <c r="FM73" s="14"/>
      <c r="FN73" s="14"/>
      <c r="FO73" s="14"/>
      <c r="FP73" s="14"/>
      <c r="FQ73" s="14"/>
      <c r="FR73" s="14"/>
      <c r="FS73" s="14"/>
      <c r="FT73" s="14"/>
      <c r="FU73" s="14"/>
      <c r="FV73" s="14"/>
      <c r="FW73" s="14"/>
      <c r="FX73" s="14"/>
      <c r="FY73" s="14"/>
      <c r="FZ73" s="14"/>
      <c r="GA73" s="14"/>
      <c r="GB73" s="14"/>
      <c r="GC73" s="14"/>
      <c r="GD73" s="14"/>
      <c r="GE73" s="14"/>
      <c r="GF73" s="14"/>
      <c r="GG73" s="14"/>
      <c r="GH73" s="14"/>
      <c r="GI73" s="14"/>
      <c r="GJ73" s="14"/>
      <c r="GK73" s="14"/>
      <c r="GL73" s="14"/>
      <c r="GM73" s="14"/>
      <c r="GN73" s="14"/>
      <c r="GO73" s="14"/>
      <c r="GP73" s="14"/>
      <c r="GQ73" s="14"/>
      <c r="GR73" s="14"/>
      <c r="GS73" s="14"/>
      <c r="GT73" s="14"/>
      <c r="GU73" s="14"/>
      <c r="GV73" s="14"/>
      <c r="GW73" s="14"/>
      <c r="GX73" s="14"/>
      <c r="GY73" s="14"/>
      <c r="GZ73" s="14"/>
      <c r="HA73" s="14"/>
      <c r="HB73" s="14"/>
      <c r="HC73" s="14"/>
      <c r="HD73" s="14"/>
      <c r="HE73" s="14"/>
      <c r="HF73" s="14"/>
      <c r="HG73" s="14"/>
      <c r="HH73" s="14"/>
      <c r="HI73" s="14"/>
      <c r="HJ73" s="14"/>
      <c r="HK73" s="14"/>
      <c r="HL73" s="14"/>
      <c r="HM73" s="14"/>
      <c r="HN73" s="14"/>
      <c r="HO73" s="14"/>
      <c r="HP73" s="14"/>
      <c r="HQ73" s="14"/>
      <c r="HR73" s="14"/>
      <c r="HS73" s="14"/>
      <c r="HT73" s="14"/>
      <c r="HU73" s="14"/>
      <c r="HV73" s="14"/>
      <c r="HW73" s="14"/>
      <c r="HX73" s="14"/>
      <c r="HY73" s="14"/>
      <c r="HZ73" s="14"/>
      <c r="IA73" s="14"/>
      <c r="IB73" s="14"/>
      <c r="IC73" s="14"/>
      <c r="ID73" s="14"/>
      <c r="IE73" s="14"/>
      <c r="IF73" s="14"/>
      <c r="IG73" s="14"/>
      <c r="IH73" s="14"/>
      <c r="II73" s="14"/>
      <c r="IJ73" s="14"/>
      <c r="IK73" s="14"/>
      <c r="IL73" s="14"/>
      <c r="IM73" s="14"/>
      <c r="IN73" s="14"/>
      <c r="IO73" s="14"/>
      <c r="IP73" s="14"/>
      <c r="IQ73" s="14"/>
      <c r="IR73" s="14"/>
      <c r="IS73" s="14"/>
      <c r="IT73" s="14"/>
      <c r="IU73" s="14"/>
      <c r="IV73" s="14"/>
      <c r="IW73" s="14"/>
      <c r="IX73" s="14"/>
      <c r="IY73" s="14"/>
      <c r="IZ73" s="14"/>
      <c r="JA73" s="14"/>
      <c r="JB73" s="14"/>
      <c r="JC73" s="14"/>
      <c r="JD73" s="14"/>
      <c r="JE73" s="14"/>
      <c r="JF73" s="14"/>
      <c r="JG73" s="14"/>
      <c r="JH73" s="14"/>
      <c r="JI73" s="14"/>
      <c r="JJ73" s="14"/>
      <c r="JK73" s="14"/>
      <c r="JL73" s="14"/>
      <c r="JM73" s="14"/>
      <c r="JN73" s="14"/>
      <c r="JO73" s="14"/>
      <c r="JP73" s="14"/>
      <c r="JQ73" s="14"/>
      <c r="JR73" s="14"/>
      <c r="JS73" s="14"/>
      <c r="JT73" s="14"/>
      <c r="JU73" s="14"/>
      <c r="JV73" s="14"/>
      <c r="JW73" s="14"/>
      <c r="JX73" s="14"/>
      <c r="JY73" s="14"/>
      <c r="JZ73" s="14"/>
      <c r="KA73" s="14"/>
      <c r="KB73" s="14"/>
      <c r="KC73" s="14"/>
      <c r="KD73" s="14"/>
      <c r="KE73" s="14"/>
      <c r="KF73" s="14"/>
      <c r="KG73" s="14"/>
      <c r="KH73" s="14"/>
      <c r="KI73" s="14"/>
      <c r="KJ73" s="14"/>
      <c r="KK73" s="14"/>
      <c r="KL73" s="14"/>
      <c r="KM73" s="14"/>
      <c r="KN73" s="14"/>
      <c r="KO73" s="14"/>
      <c r="KP73" s="14"/>
      <c r="KQ73" s="14"/>
      <c r="KR73" s="14"/>
      <c r="KS73" s="14"/>
      <c r="KT73" s="14"/>
      <c r="KU73" s="14"/>
      <c r="KV73" s="14"/>
      <c r="KW73" s="14"/>
      <c r="KX73" s="14"/>
      <c r="KY73" s="14"/>
      <c r="KZ73" s="14"/>
      <c r="LA73" s="14"/>
      <c r="LB73" s="14"/>
      <c r="LC73" s="14"/>
      <c r="LD73" s="14"/>
      <c r="LE73" s="14"/>
      <c r="LF73" s="14"/>
      <c r="LG73" s="14"/>
      <c r="LH73" s="14"/>
      <c r="LI73" s="14"/>
      <c r="LJ73" s="14"/>
      <c r="LK73" s="14"/>
      <c r="LL73" s="14"/>
      <c r="LM73" s="14"/>
      <c r="LN73" s="14"/>
      <c r="LO73" s="14"/>
      <c r="LP73" s="14"/>
      <c r="LQ73" s="14"/>
      <c r="LR73" s="14"/>
      <c r="LS73" s="14"/>
      <c r="LT73" s="14"/>
      <c r="LU73" s="14"/>
      <c r="LV73" s="14"/>
      <c r="LW73" s="14"/>
      <c r="LX73" s="14"/>
      <c r="LY73" s="14"/>
      <c r="LZ73" s="14"/>
      <c r="MA73" s="14"/>
      <c r="MB73" s="14"/>
      <c r="MC73" s="14"/>
      <c r="MD73" s="14"/>
      <c r="ME73" s="14"/>
      <c r="MF73" s="14"/>
      <c r="MG73" s="14"/>
      <c r="MH73" s="14"/>
      <c r="MI73" s="14"/>
      <c r="MJ73" s="14"/>
      <c r="MK73" s="14"/>
      <c r="ML73" s="14"/>
      <c r="MM73" s="14"/>
      <c r="MN73" s="14"/>
      <c r="MO73" s="14"/>
      <c r="MP73" s="14"/>
      <c r="MQ73" s="14"/>
      <c r="MR73" s="14"/>
      <c r="MS73" s="14"/>
      <c r="MT73" s="14"/>
      <c r="MU73" s="14"/>
      <c r="MV73" s="14"/>
      <c r="MW73" s="14"/>
      <c r="MX73" s="14"/>
      <c r="MY73" s="14"/>
      <c r="MZ73" s="14"/>
      <c r="NA73" s="14"/>
      <c r="NB73" s="14"/>
      <c r="NC73" s="14"/>
      <c r="ND73" s="14"/>
      <c r="NE73" s="14"/>
      <c r="NF73" s="14"/>
      <c r="NG73" s="14"/>
      <c r="NH73" s="14"/>
      <c r="NI73" s="14"/>
      <c r="NJ73" s="14"/>
      <c r="NK73" s="14"/>
      <c r="NL73" s="14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</row>
    <row r="74" ht="13.5" customHeight="1">
      <c r="A74" s="2"/>
      <c r="B74" s="22"/>
      <c r="C74" s="2"/>
      <c r="D74" s="13"/>
      <c r="E74" s="3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4"/>
      <c r="FJ74" s="14"/>
      <c r="FK74" s="14"/>
      <c r="FL74" s="14"/>
      <c r="FM74" s="14"/>
      <c r="FN74" s="14"/>
      <c r="FO74" s="14"/>
      <c r="FP74" s="14"/>
      <c r="FQ74" s="14"/>
      <c r="FR74" s="14"/>
      <c r="FS74" s="14"/>
      <c r="FT74" s="14"/>
      <c r="FU74" s="14"/>
      <c r="FV74" s="14"/>
      <c r="FW74" s="14"/>
      <c r="FX74" s="14"/>
      <c r="FY74" s="14"/>
      <c r="FZ74" s="14"/>
      <c r="GA74" s="14"/>
      <c r="GB74" s="14"/>
      <c r="GC74" s="14"/>
      <c r="GD74" s="14"/>
      <c r="GE74" s="14"/>
      <c r="GF74" s="14"/>
      <c r="GG74" s="14"/>
      <c r="GH74" s="14"/>
      <c r="GI74" s="14"/>
      <c r="GJ74" s="14"/>
      <c r="GK74" s="14"/>
      <c r="GL74" s="14"/>
      <c r="GM74" s="14"/>
      <c r="GN74" s="14"/>
      <c r="GO74" s="14"/>
      <c r="GP74" s="14"/>
      <c r="GQ74" s="14"/>
      <c r="GR74" s="14"/>
      <c r="GS74" s="14"/>
      <c r="GT74" s="14"/>
      <c r="GU74" s="14"/>
      <c r="GV74" s="14"/>
      <c r="GW74" s="14"/>
      <c r="GX74" s="14"/>
      <c r="GY74" s="14"/>
      <c r="GZ74" s="14"/>
      <c r="HA74" s="14"/>
      <c r="HB74" s="14"/>
      <c r="HC74" s="14"/>
      <c r="HD74" s="14"/>
      <c r="HE74" s="14"/>
      <c r="HF74" s="14"/>
      <c r="HG74" s="14"/>
      <c r="HH74" s="14"/>
      <c r="HI74" s="14"/>
      <c r="HJ74" s="14"/>
      <c r="HK74" s="14"/>
      <c r="HL74" s="14"/>
      <c r="HM74" s="14"/>
      <c r="HN74" s="14"/>
      <c r="HO74" s="14"/>
      <c r="HP74" s="14"/>
      <c r="HQ74" s="14"/>
      <c r="HR74" s="14"/>
      <c r="HS74" s="14"/>
      <c r="HT74" s="14"/>
      <c r="HU74" s="14"/>
      <c r="HV74" s="14"/>
      <c r="HW74" s="14"/>
      <c r="HX74" s="14"/>
      <c r="HY74" s="14"/>
      <c r="HZ74" s="14"/>
      <c r="IA74" s="14"/>
      <c r="IB74" s="14"/>
      <c r="IC74" s="14"/>
      <c r="ID74" s="14"/>
      <c r="IE74" s="14"/>
      <c r="IF74" s="14"/>
      <c r="IG74" s="14"/>
      <c r="IH74" s="14"/>
      <c r="II74" s="14"/>
      <c r="IJ74" s="14"/>
      <c r="IK74" s="14"/>
      <c r="IL74" s="14"/>
      <c r="IM74" s="14"/>
      <c r="IN74" s="14"/>
      <c r="IO74" s="14"/>
      <c r="IP74" s="14"/>
      <c r="IQ74" s="14"/>
      <c r="IR74" s="14"/>
      <c r="IS74" s="14"/>
      <c r="IT74" s="14"/>
      <c r="IU74" s="14"/>
      <c r="IV74" s="14"/>
      <c r="IW74" s="14"/>
      <c r="IX74" s="14"/>
      <c r="IY74" s="14"/>
      <c r="IZ74" s="14"/>
      <c r="JA74" s="14"/>
      <c r="JB74" s="14"/>
      <c r="JC74" s="14"/>
      <c r="JD74" s="14"/>
      <c r="JE74" s="14"/>
      <c r="JF74" s="14"/>
      <c r="JG74" s="14"/>
      <c r="JH74" s="14"/>
      <c r="JI74" s="14"/>
      <c r="JJ74" s="14"/>
      <c r="JK74" s="14"/>
      <c r="JL74" s="14"/>
      <c r="JM74" s="14"/>
      <c r="JN74" s="14"/>
      <c r="JO74" s="14"/>
      <c r="JP74" s="14"/>
      <c r="JQ74" s="14"/>
      <c r="JR74" s="14"/>
      <c r="JS74" s="14"/>
      <c r="JT74" s="14"/>
      <c r="JU74" s="14"/>
      <c r="JV74" s="14"/>
      <c r="JW74" s="14"/>
      <c r="JX74" s="14"/>
      <c r="JY74" s="14"/>
      <c r="JZ74" s="14"/>
      <c r="KA74" s="14"/>
      <c r="KB74" s="14"/>
      <c r="KC74" s="14"/>
      <c r="KD74" s="14"/>
      <c r="KE74" s="14"/>
      <c r="KF74" s="14"/>
      <c r="KG74" s="14"/>
      <c r="KH74" s="14"/>
      <c r="KI74" s="14"/>
      <c r="KJ74" s="14"/>
      <c r="KK74" s="14"/>
      <c r="KL74" s="14"/>
      <c r="KM74" s="14"/>
      <c r="KN74" s="14"/>
      <c r="KO74" s="14"/>
      <c r="KP74" s="14"/>
      <c r="KQ74" s="14"/>
      <c r="KR74" s="14"/>
      <c r="KS74" s="14"/>
      <c r="KT74" s="14"/>
      <c r="KU74" s="14"/>
      <c r="KV74" s="14"/>
      <c r="KW74" s="14"/>
      <c r="KX74" s="14"/>
      <c r="KY74" s="14"/>
      <c r="KZ74" s="14"/>
      <c r="LA74" s="14"/>
      <c r="LB74" s="14"/>
      <c r="LC74" s="14"/>
      <c r="LD74" s="14"/>
      <c r="LE74" s="14"/>
      <c r="LF74" s="14"/>
      <c r="LG74" s="14"/>
      <c r="LH74" s="14"/>
      <c r="LI74" s="14"/>
      <c r="LJ74" s="14"/>
      <c r="LK74" s="14"/>
      <c r="LL74" s="14"/>
      <c r="LM74" s="14"/>
      <c r="LN74" s="14"/>
      <c r="LO74" s="14"/>
      <c r="LP74" s="14"/>
      <c r="LQ74" s="14"/>
      <c r="LR74" s="14"/>
      <c r="LS74" s="14"/>
      <c r="LT74" s="14"/>
      <c r="LU74" s="14"/>
      <c r="LV74" s="14"/>
      <c r="LW74" s="14"/>
      <c r="LX74" s="14"/>
      <c r="LY74" s="14"/>
      <c r="LZ74" s="14"/>
      <c r="MA74" s="14"/>
      <c r="MB74" s="14"/>
      <c r="MC74" s="14"/>
      <c r="MD74" s="14"/>
      <c r="ME74" s="14"/>
      <c r="MF74" s="14"/>
      <c r="MG74" s="14"/>
      <c r="MH74" s="14"/>
      <c r="MI74" s="14"/>
      <c r="MJ74" s="14"/>
      <c r="MK74" s="14"/>
      <c r="ML74" s="14"/>
      <c r="MM74" s="14"/>
      <c r="MN74" s="14"/>
      <c r="MO74" s="14"/>
      <c r="MP74" s="14"/>
      <c r="MQ74" s="14"/>
      <c r="MR74" s="14"/>
      <c r="MS74" s="14"/>
      <c r="MT74" s="14"/>
      <c r="MU74" s="14"/>
      <c r="MV74" s="14"/>
      <c r="MW74" s="14"/>
      <c r="MX74" s="14"/>
      <c r="MY74" s="14"/>
      <c r="MZ74" s="14"/>
      <c r="NA74" s="14"/>
      <c r="NB74" s="14"/>
      <c r="NC74" s="14"/>
      <c r="ND74" s="14"/>
      <c r="NE74" s="14"/>
      <c r="NF74" s="14"/>
      <c r="NG74" s="14"/>
      <c r="NH74" s="14"/>
      <c r="NI74" s="14"/>
      <c r="NJ74" s="14"/>
      <c r="NK74" s="14"/>
      <c r="NL74" s="14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</row>
    <row r="75" ht="13.5" customHeight="1">
      <c r="A75" s="2"/>
      <c r="B75" s="22"/>
      <c r="C75" s="2"/>
      <c r="D75" s="13"/>
      <c r="E75" s="3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4"/>
      <c r="FJ75" s="14"/>
      <c r="FK75" s="14"/>
      <c r="FL75" s="14"/>
      <c r="FM75" s="14"/>
      <c r="FN75" s="14"/>
      <c r="FO75" s="14"/>
      <c r="FP75" s="14"/>
      <c r="FQ75" s="14"/>
      <c r="FR75" s="14"/>
      <c r="FS75" s="14"/>
      <c r="FT75" s="14"/>
      <c r="FU75" s="14"/>
      <c r="FV75" s="14"/>
      <c r="FW75" s="14"/>
      <c r="FX75" s="14"/>
      <c r="FY75" s="14"/>
      <c r="FZ75" s="14"/>
      <c r="GA75" s="14"/>
      <c r="GB75" s="14"/>
      <c r="GC75" s="14"/>
      <c r="GD75" s="14"/>
      <c r="GE75" s="14"/>
      <c r="GF75" s="14"/>
      <c r="GG75" s="14"/>
      <c r="GH75" s="14"/>
      <c r="GI75" s="14"/>
      <c r="GJ75" s="14"/>
      <c r="GK75" s="14"/>
      <c r="GL75" s="14"/>
      <c r="GM75" s="14"/>
      <c r="GN75" s="14"/>
      <c r="GO75" s="14"/>
      <c r="GP75" s="14"/>
      <c r="GQ75" s="14"/>
      <c r="GR75" s="14"/>
      <c r="GS75" s="14"/>
      <c r="GT75" s="14"/>
      <c r="GU75" s="14"/>
      <c r="GV75" s="14"/>
      <c r="GW75" s="14"/>
      <c r="GX75" s="14"/>
      <c r="GY75" s="14"/>
      <c r="GZ75" s="14"/>
      <c r="HA75" s="14"/>
      <c r="HB75" s="14"/>
      <c r="HC75" s="14"/>
      <c r="HD75" s="14"/>
      <c r="HE75" s="14"/>
      <c r="HF75" s="14"/>
      <c r="HG75" s="14"/>
      <c r="HH75" s="14"/>
      <c r="HI75" s="14"/>
      <c r="HJ75" s="14"/>
      <c r="HK75" s="14"/>
      <c r="HL75" s="14"/>
      <c r="HM75" s="14"/>
      <c r="HN75" s="14"/>
      <c r="HO75" s="14"/>
      <c r="HP75" s="14"/>
      <c r="HQ75" s="14"/>
      <c r="HR75" s="14"/>
      <c r="HS75" s="14"/>
      <c r="HT75" s="14"/>
      <c r="HU75" s="14"/>
      <c r="HV75" s="14"/>
      <c r="HW75" s="14"/>
      <c r="HX75" s="14"/>
      <c r="HY75" s="14"/>
      <c r="HZ75" s="14"/>
      <c r="IA75" s="14"/>
      <c r="IB75" s="14"/>
      <c r="IC75" s="14"/>
      <c r="ID75" s="14"/>
      <c r="IE75" s="14"/>
      <c r="IF75" s="14"/>
      <c r="IG75" s="14"/>
      <c r="IH75" s="14"/>
      <c r="II75" s="14"/>
      <c r="IJ75" s="14"/>
      <c r="IK75" s="14"/>
      <c r="IL75" s="14"/>
      <c r="IM75" s="14"/>
      <c r="IN75" s="14"/>
      <c r="IO75" s="14"/>
      <c r="IP75" s="14"/>
      <c r="IQ75" s="14"/>
      <c r="IR75" s="14"/>
      <c r="IS75" s="14"/>
      <c r="IT75" s="14"/>
      <c r="IU75" s="14"/>
      <c r="IV75" s="14"/>
      <c r="IW75" s="14"/>
      <c r="IX75" s="14"/>
      <c r="IY75" s="14"/>
      <c r="IZ75" s="14"/>
      <c r="JA75" s="14"/>
      <c r="JB75" s="14"/>
      <c r="JC75" s="14"/>
      <c r="JD75" s="14"/>
      <c r="JE75" s="14"/>
      <c r="JF75" s="14"/>
      <c r="JG75" s="14"/>
      <c r="JH75" s="14"/>
      <c r="JI75" s="14"/>
      <c r="JJ75" s="14"/>
      <c r="JK75" s="14"/>
      <c r="JL75" s="14"/>
      <c r="JM75" s="14"/>
      <c r="JN75" s="14"/>
      <c r="JO75" s="14"/>
      <c r="JP75" s="14"/>
      <c r="JQ75" s="14"/>
      <c r="JR75" s="14"/>
      <c r="JS75" s="14"/>
      <c r="JT75" s="14"/>
      <c r="JU75" s="14"/>
      <c r="JV75" s="14"/>
      <c r="JW75" s="14"/>
      <c r="JX75" s="14"/>
      <c r="JY75" s="14"/>
      <c r="JZ75" s="14"/>
      <c r="KA75" s="14"/>
      <c r="KB75" s="14"/>
      <c r="KC75" s="14"/>
      <c r="KD75" s="14"/>
      <c r="KE75" s="14"/>
      <c r="KF75" s="14"/>
      <c r="KG75" s="14"/>
      <c r="KH75" s="14"/>
      <c r="KI75" s="14"/>
      <c r="KJ75" s="14"/>
      <c r="KK75" s="14"/>
      <c r="KL75" s="14"/>
      <c r="KM75" s="14"/>
      <c r="KN75" s="14"/>
      <c r="KO75" s="14"/>
      <c r="KP75" s="14"/>
      <c r="KQ75" s="14"/>
      <c r="KR75" s="14"/>
      <c r="KS75" s="14"/>
      <c r="KT75" s="14"/>
      <c r="KU75" s="14"/>
      <c r="KV75" s="14"/>
      <c r="KW75" s="14"/>
      <c r="KX75" s="14"/>
      <c r="KY75" s="14"/>
      <c r="KZ75" s="14"/>
      <c r="LA75" s="14"/>
      <c r="LB75" s="14"/>
      <c r="LC75" s="14"/>
      <c r="LD75" s="14"/>
      <c r="LE75" s="14"/>
      <c r="LF75" s="14"/>
      <c r="LG75" s="14"/>
      <c r="LH75" s="14"/>
      <c r="LI75" s="14"/>
      <c r="LJ75" s="14"/>
      <c r="LK75" s="14"/>
      <c r="LL75" s="14"/>
      <c r="LM75" s="14"/>
      <c r="LN75" s="14"/>
      <c r="LO75" s="14"/>
      <c r="LP75" s="14"/>
      <c r="LQ75" s="14"/>
      <c r="LR75" s="14"/>
      <c r="LS75" s="14"/>
      <c r="LT75" s="14"/>
      <c r="LU75" s="14"/>
      <c r="LV75" s="14"/>
      <c r="LW75" s="14"/>
      <c r="LX75" s="14"/>
      <c r="LY75" s="14"/>
      <c r="LZ75" s="14"/>
      <c r="MA75" s="14"/>
      <c r="MB75" s="14"/>
      <c r="MC75" s="14"/>
      <c r="MD75" s="14"/>
      <c r="ME75" s="14"/>
      <c r="MF75" s="14"/>
      <c r="MG75" s="14"/>
      <c r="MH75" s="14"/>
      <c r="MI75" s="14"/>
      <c r="MJ75" s="14"/>
      <c r="MK75" s="14"/>
      <c r="ML75" s="14"/>
      <c r="MM75" s="14"/>
      <c r="MN75" s="14"/>
      <c r="MO75" s="14"/>
      <c r="MP75" s="14"/>
      <c r="MQ75" s="14"/>
      <c r="MR75" s="14"/>
      <c r="MS75" s="14"/>
      <c r="MT75" s="14"/>
      <c r="MU75" s="14"/>
      <c r="MV75" s="14"/>
      <c r="MW75" s="14"/>
      <c r="MX75" s="14"/>
      <c r="MY75" s="14"/>
      <c r="MZ75" s="14"/>
      <c r="NA75" s="14"/>
      <c r="NB75" s="14"/>
      <c r="NC75" s="14"/>
      <c r="ND75" s="14"/>
      <c r="NE75" s="14"/>
      <c r="NF75" s="14"/>
      <c r="NG75" s="14"/>
      <c r="NH75" s="14"/>
      <c r="NI75" s="14"/>
      <c r="NJ75" s="14"/>
      <c r="NK75" s="14"/>
      <c r="NL75" s="14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</row>
    <row r="76" ht="13.5" customHeight="1">
      <c r="A76" s="2"/>
      <c r="B76" s="22"/>
      <c r="C76" s="2"/>
      <c r="D76" s="13"/>
      <c r="E76" s="3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4"/>
      <c r="FK76" s="14"/>
      <c r="FL76" s="14"/>
      <c r="FM76" s="14"/>
      <c r="FN76" s="14"/>
      <c r="FO76" s="14"/>
      <c r="FP76" s="14"/>
      <c r="FQ76" s="14"/>
      <c r="FR76" s="14"/>
      <c r="FS76" s="14"/>
      <c r="FT76" s="14"/>
      <c r="FU76" s="14"/>
      <c r="FV76" s="14"/>
      <c r="FW76" s="14"/>
      <c r="FX76" s="14"/>
      <c r="FY76" s="14"/>
      <c r="FZ76" s="14"/>
      <c r="GA76" s="14"/>
      <c r="GB76" s="14"/>
      <c r="GC76" s="14"/>
      <c r="GD76" s="14"/>
      <c r="GE76" s="14"/>
      <c r="GF76" s="14"/>
      <c r="GG76" s="14"/>
      <c r="GH76" s="14"/>
      <c r="GI76" s="14"/>
      <c r="GJ76" s="14"/>
      <c r="GK76" s="14"/>
      <c r="GL76" s="14"/>
      <c r="GM76" s="14"/>
      <c r="GN76" s="14"/>
      <c r="GO76" s="14"/>
      <c r="GP76" s="14"/>
      <c r="GQ76" s="14"/>
      <c r="GR76" s="14"/>
      <c r="GS76" s="14"/>
      <c r="GT76" s="14"/>
      <c r="GU76" s="14"/>
      <c r="GV76" s="14"/>
      <c r="GW76" s="14"/>
      <c r="GX76" s="14"/>
      <c r="GY76" s="14"/>
      <c r="GZ76" s="14"/>
      <c r="HA76" s="14"/>
      <c r="HB76" s="14"/>
      <c r="HC76" s="14"/>
      <c r="HD76" s="14"/>
      <c r="HE76" s="14"/>
      <c r="HF76" s="14"/>
      <c r="HG76" s="14"/>
      <c r="HH76" s="14"/>
      <c r="HI76" s="14"/>
      <c r="HJ76" s="14"/>
      <c r="HK76" s="14"/>
      <c r="HL76" s="14"/>
      <c r="HM76" s="14"/>
      <c r="HN76" s="14"/>
      <c r="HO76" s="14"/>
      <c r="HP76" s="14"/>
      <c r="HQ76" s="14"/>
      <c r="HR76" s="14"/>
      <c r="HS76" s="14"/>
      <c r="HT76" s="14"/>
      <c r="HU76" s="14"/>
      <c r="HV76" s="14"/>
      <c r="HW76" s="14"/>
      <c r="HX76" s="14"/>
      <c r="HY76" s="14"/>
      <c r="HZ76" s="14"/>
      <c r="IA76" s="14"/>
      <c r="IB76" s="14"/>
      <c r="IC76" s="14"/>
      <c r="ID76" s="14"/>
      <c r="IE76" s="14"/>
      <c r="IF76" s="14"/>
      <c r="IG76" s="14"/>
      <c r="IH76" s="14"/>
      <c r="II76" s="14"/>
      <c r="IJ76" s="14"/>
      <c r="IK76" s="14"/>
      <c r="IL76" s="14"/>
      <c r="IM76" s="14"/>
      <c r="IN76" s="14"/>
      <c r="IO76" s="14"/>
      <c r="IP76" s="14"/>
      <c r="IQ76" s="14"/>
      <c r="IR76" s="14"/>
      <c r="IS76" s="14"/>
      <c r="IT76" s="14"/>
      <c r="IU76" s="14"/>
      <c r="IV76" s="14"/>
      <c r="IW76" s="14"/>
      <c r="IX76" s="14"/>
      <c r="IY76" s="14"/>
      <c r="IZ76" s="14"/>
      <c r="JA76" s="14"/>
      <c r="JB76" s="14"/>
      <c r="JC76" s="14"/>
      <c r="JD76" s="14"/>
      <c r="JE76" s="14"/>
      <c r="JF76" s="14"/>
      <c r="JG76" s="14"/>
      <c r="JH76" s="14"/>
      <c r="JI76" s="14"/>
      <c r="JJ76" s="14"/>
      <c r="JK76" s="14"/>
      <c r="JL76" s="14"/>
      <c r="JM76" s="14"/>
      <c r="JN76" s="14"/>
      <c r="JO76" s="14"/>
      <c r="JP76" s="14"/>
      <c r="JQ76" s="14"/>
      <c r="JR76" s="14"/>
      <c r="JS76" s="14"/>
      <c r="JT76" s="14"/>
      <c r="JU76" s="14"/>
      <c r="JV76" s="14"/>
      <c r="JW76" s="14"/>
      <c r="JX76" s="14"/>
      <c r="JY76" s="14"/>
      <c r="JZ76" s="14"/>
      <c r="KA76" s="14"/>
      <c r="KB76" s="14"/>
      <c r="KC76" s="14"/>
      <c r="KD76" s="14"/>
      <c r="KE76" s="14"/>
      <c r="KF76" s="14"/>
      <c r="KG76" s="14"/>
      <c r="KH76" s="14"/>
      <c r="KI76" s="14"/>
      <c r="KJ76" s="14"/>
      <c r="KK76" s="14"/>
      <c r="KL76" s="14"/>
      <c r="KM76" s="14"/>
      <c r="KN76" s="14"/>
      <c r="KO76" s="14"/>
      <c r="KP76" s="14"/>
      <c r="KQ76" s="14"/>
      <c r="KR76" s="14"/>
      <c r="KS76" s="14"/>
      <c r="KT76" s="14"/>
      <c r="KU76" s="14"/>
      <c r="KV76" s="14"/>
      <c r="KW76" s="14"/>
      <c r="KX76" s="14"/>
      <c r="KY76" s="14"/>
      <c r="KZ76" s="14"/>
      <c r="LA76" s="14"/>
      <c r="LB76" s="14"/>
      <c r="LC76" s="14"/>
      <c r="LD76" s="14"/>
      <c r="LE76" s="14"/>
      <c r="LF76" s="14"/>
      <c r="LG76" s="14"/>
      <c r="LH76" s="14"/>
      <c r="LI76" s="14"/>
      <c r="LJ76" s="14"/>
      <c r="LK76" s="14"/>
      <c r="LL76" s="14"/>
      <c r="LM76" s="14"/>
      <c r="LN76" s="14"/>
      <c r="LO76" s="14"/>
      <c r="LP76" s="14"/>
      <c r="LQ76" s="14"/>
      <c r="LR76" s="14"/>
      <c r="LS76" s="14"/>
      <c r="LT76" s="14"/>
      <c r="LU76" s="14"/>
      <c r="LV76" s="14"/>
      <c r="LW76" s="14"/>
      <c r="LX76" s="14"/>
      <c r="LY76" s="14"/>
      <c r="LZ76" s="14"/>
      <c r="MA76" s="14"/>
      <c r="MB76" s="14"/>
      <c r="MC76" s="14"/>
      <c r="MD76" s="14"/>
      <c r="ME76" s="14"/>
      <c r="MF76" s="14"/>
      <c r="MG76" s="14"/>
      <c r="MH76" s="14"/>
      <c r="MI76" s="14"/>
      <c r="MJ76" s="14"/>
      <c r="MK76" s="14"/>
      <c r="ML76" s="14"/>
      <c r="MM76" s="14"/>
      <c r="MN76" s="14"/>
      <c r="MO76" s="14"/>
      <c r="MP76" s="14"/>
      <c r="MQ76" s="14"/>
      <c r="MR76" s="14"/>
      <c r="MS76" s="14"/>
      <c r="MT76" s="14"/>
      <c r="MU76" s="14"/>
      <c r="MV76" s="14"/>
      <c r="MW76" s="14"/>
      <c r="MX76" s="14"/>
      <c r="MY76" s="14"/>
      <c r="MZ76" s="14"/>
      <c r="NA76" s="14"/>
      <c r="NB76" s="14"/>
      <c r="NC76" s="14"/>
      <c r="ND76" s="14"/>
      <c r="NE76" s="14"/>
      <c r="NF76" s="14"/>
      <c r="NG76" s="14"/>
      <c r="NH76" s="14"/>
      <c r="NI76" s="14"/>
      <c r="NJ76" s="14"/>
      <c r="NK76" s="14"/>
      <c r="NL76" s="14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</row>
    <row r="77" ht="13.5" customHeight="1">
      <c r="A77" s="2"/>
      <c r="B77" s="22"/>
      <c r="C77" s="2"/>
      <c r="D77" s="13"/>
      <c r="E77" s="3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4"/>
      <c r="FJ77" s="14"/>
      <c r="FK77" s="14"/>
      <c r="FL77" s="14"/>
      <c r="FM77" s="14"/>
      <c r="FN77" s="14"/>
      <c r="FO77" s="14"/>
      <c r="FP77" s="14"/>
      <c r="FQ77" s="14"/>
      <c r="FR77" s="14"/>
      <c r="FS77" s="14"/>
      <c r="FT77" s="14"/>
      <c r="FU77" s="14"/>
      <c r="FV77" s="14"/>
      <c r="FW77" s="14"/>
      <c r="FX77" s="14"/>
      <c r="FY77" s="14"/>
      <c r="FZ77" s="14"/>
      <c r="GA77" s="14"/>
      <c r="GB77" s="14"/>
      <c r="GC77" s="14"/>
      <c r="GD77" s="14"/>
      <c r="GE77" s="14"/>
      <c r="GF77" s="14"/>
      <c r="GG77" s="14"/>
      <c r="GH77" s="14"/>
      <c r="GI77" s="14"/>
      <c r="GJ77" s="14"/>
      <c r="GK77" s="14"/>
      <c r="GL77" s="14"/>
      <c r="GM77" s="14"/>
      <c r="GN77" s="14"/>
      <c r="GO77" s="14"/>
      <c r="GP77" s="14"/>
      <c r="GQ77" s="14"/>
      <c r="GR77" s="14"/>
      <c r="GS77" s="14"/>
      <c r="GT77" s="14"/>
      <c r="GU77" s="14"/>
      <c r="GV77" s="14"/>
      <c r="GW77" s="14"/>
      <c r="GX77" s="14"/>
      <c r="GY77" s="14"/>
      <c r="GZ77" s="14"/>
      <c r="HA77" s="14"/>
      <c r="HB77" s="14"/>
      <c r="HC77" s="14"/>
      <c r="HD77" s="14"/>
      <c r="HE77" s="14"/>
      <c r="HF77" s="14"/>
      <c r="HG77" s="14"/>
      <c r="HH77" s="14"/>
      <c r="HI77" s="14"/>
      <c r="HJ77" s="14"/>
      <c r="HK77" s="14"/>
      <c r="HL77" s="14"/>
      <c r="HM77" s="14"/>
      <c r="HN77" s="14"/>
      <c r="HO77" s="14"/>
      <c r="HP77" s="14"/>
      <c r="HQ77" s="14"/>
      <c r="HR77" s="14"/>
      <c r="HS77" s="14"/>
      <c r="HT77" s="14"/>
      <c r="HU77" s="14"/>
      <c r="HV77" s="14"/>
      <c r="HW77" s="14"/>
      <c r="HX77" s="14"/>
      <c r="HY77" s="14"/>
      <c r="HZ77" s="14"/>
      <c r="IA77" s="14"/>
      <c r="IB77" s="14"/>
      <c r="IC77" s="14"/>
      <c r="ID77" s="14"/>
      <c r="IE77" s="14"/>
      <c r="IF77" s="14"/>
      <c r="IG77" s="14"/>
      <c r="IH77" s="14"/>
      <c r="II77" s="14"/>
      <c r="IJ77" s="14"/>
      <c r="IK77" s="14"/>
      <c r="IL77" s="14"/>
      <c r="IM77" s="14"/>
      <c r="IN77" s="14"/>
      <c r="IO77" s="14"/>
      <c r="IP77" s="14"/>
      <c r="IQ77" s="14"/>
      <c r="IR77" s="14"/>
      <c r="IS77" s="14"/>
      <c r="IT77" s="14"/>
      <c r="IU77" s="14"/>
      <c r="IV77" s="14"/>
      <c r="IW77" s="14"/>
      <c r="IX77" s="14"/>
      <c r="IY77" s="14"/>
      <c r="IZ77" s="14"/>
      <c r="JA77" s="14"/>
      <c r="JB77" s="14"/>
      <c r="JC77" s="14"/>
      <c r="JD77" s="14"/>
      <c r="JE77" s="14"/>
      <c r="JF77" s="14"/>
      <c r="JG77" s="14"/>
      <c r="JH77" s="14"/>
      <c r="JI77" s="14"/>
      <c r="JJ77" s="14"/>
      <c r="JK77" s="14"/>
      <c r="JL77" s="14"/>
      <c r="JM77" s="14"/>
      <c r="JN77" s="14"/>
      <c r="JO77" s="14"/>
      <c r="JP77" s="14"/>
      <c r="JQ77" s="14"/>
      <c r="JR77" s="14"/>
      <c r="JS77" s="14"/>
      <c r="JT77" s="14"/>
      <c r="JU77" s="14"/>
      <c r="JV77" s="14"/>
      <c r="JW77" s="14"/>
      <c r="JX77" s="14"/>
      <c r="JY77" s="14"/>
      <c r="JZ77" s="14"/>
      <c r="KA77" s="14"/>
      <c r="KB77" s="14"/>
      <c r="KC77" s="14"/>
      <c r="KD77" s="14"/>
      <c r="KE77" s="14"/>
      <c r="KF77" s="14"/>
      <c r="KG77" s="14"/>
      <c r="KH77" s="14"/>
      <c r="KI77" s="14"/>
      <c r="KJ77" s="14"/>
      <c r="KK77" s="14"/>
      <c r="KL77" s="14"/>
      <c r="KM77" s="14"/>
      <c r="KN77" s="14"/>
      <c r="KO77" s="14"/>
      <c r="KP77" s="14"/>
      <c r="KQ77" s="14"/>
      <c r="KR77" s="14"/>
      <c r="KS77" s="14"/>
      <c r="KT77" s="14"/>
      <c r="KU77" s="14"/>
      <c r="KV77" s="14"/>
      <c r="KW77" s="14"/>
      <c r="KX77" s="14"/>
      <c r="KY77" s="14"/>
      <c r="KZ77" s="14"/>
      <c r="LA77" s="14"/>
      <c r="LB77" s="14"/>
      <c r="LC77" s="14"/>
      <c r="LD77" s="14"/>
      <c r="LE77" s="14"/>
      <c r="LF77" s="14"/>
      <c r="LG77" s="14"/>
      <c r="LH77" s="14"/>
      <c r="LI77" s="14"/>
      <c r="LJ77" s="14"/>
      <c r="LK77" s="14"/>
      <c r="LL77" s="14"/>
      <c r="LM77" s="14"/>
      <c r="LN77" s="14"/>
      <c r="LO77" s="14"/>
      <c r="LP77" s="14"/>
      <c r="LQ77" s="14"/>
      <c r="LR77" s="14"/>
      <c r="LS77" s="14"/>
      <c r="LT77" s="14"/>
      <c r="LU77" s="14"/>
      <c r="LV77" s="14"/>
      <c r="LW77" s="14"/>
      <c r="LX77" s="14"/>
      <c r="LY77" s="14"/>
      <c r="LZ77" s="14"/>
      <c r="MA77" s="14"/>
      <c r="MB77" s="14"/>
      <c r="MC77" s="14"/>
      <c r="MD77" s="14"/>
      <c r="ME77" s="14"/>
      <c r="MF77" s="14"/>
      <c r="MG77" s="14"/>
      <c r="MH77" s="14"/>
      <c r="MI77" s="14"/>
      <c r="MJ77" s="14"/>
      <c r="MK77" s="14"/>
      <c r="ML77" s="14"/>
      <c r="MM77" s="14"/>
      <c r="MN77" s="14"/>
      <c r="MO77" s="14"/>
      <c r="MP77" s="14"/>
      <c r="MQ77" s="14"/>
      <c r="MR77" s="14"/>
      <c r="MS77" s="14"/>
      <c r="MT77" s="14"/>
      <c r="MU77" s="14"/>
      <c r="MV77" s="14"/>
      <c r="MW77" s="14"/>
      <c r="MX77" s="14"/>
      <c r="MY77" s="14"/>
      <c r="MZ77" s="14"/>
      <c r="NA77" s="14"/>
      <c r="NB77" s="14"/>
      <c r="NC77" s="14"/>
      <c r="ND77" s="14"/>
      <c r="NE77" s="14"/>
      <c r="NF77" s="14"/>
      <c r="NG77" s="14"/>
      <c r="NH77" s="14"/>
      <c r="NI77" s="14"/>
      <c r="NJ77" s="14"/>
      <c r="NK77" s="14"/>
      <c r="NL77" s="14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</row>
    <row r="78" ht="13.5" customHeight="1">
      <c r="A78" s="2"/>
      <c r="B78" s="22"/>
      <c r="C78" s="2"/>
      <c r="D78" s="13"/>
      <c r="E78" s="3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4"/>
      <c r="FJ78" s="14"/>
      <c r="FK78" s="14"/>
      <c r="FL78" s="14"/>
      <c r="FM78" s="14"/>
      <c r="FN78" s="14"/>
      <c r="FO78" s="14"/>
      <c r="FP78" s="14"/>
      <c r="FQ78" s="14"/>
      <c r="FR78" s="14"/>
      <c r="FS78" s="14"/>
      <c r="FT78" s="14"/>
      <c r="FU78" s="14"/>
      <c r="FV78" s="14"/>
      <c r="FW78" s="14"/>
      <c r="FX78" s="14"/>
      <c r="FY78" s="14"/>
      <c r="FZ78" s="14"/>
      <c r="GA78" s="14"/>
      <c r="GB78" s="14"/>
      <c r="GC78" s="14"/>
      <c r="GD78" s="14"/>
      <c r="GE78" s="14"/>
      <c r="GF78" s="14"/>
      <c r="GG78" s="14"/>
      <c r="GH78" s="14"/>
      <c r="GI78" s="14"/>
      <c r="GJ78" s="14"/>
      <c r="GK78" s="14"/>
      <c r="GL78" s="14"/>
      <c r="GM78" s="14"/>
      <c r="GN78" s="14"/>
      <c r="GO78" s="14"/>
      <c r="GP78" s="14"/>
      <c r="GQ78" s="14"/>
      <c r="GR78" s="14"/>
      <c r="GS78" s="14"/>
      <c r="GT78" s="14"/>
      <c r="GU78" s="14"/>
      <c r="GV78" s="14"/>
      <c r="GW78" s="14"/>
      <c r="GX78" s="14"/>
      <c r="GY78" s="14"/>
      <c r="GZ78" s="14"/>
      <c r="HA78" s="14"/>
      <c r="HB78" s="14"/>
      <c r="HC78" s="14"/>
      <c r="HD78" s="14"/>
      <c r="HE78" s="14"/>
      <c r="HF78" s="14"/>
      <c r="HG78" s="14"/>
      <c r="HH78" s="14"/>
      <c r="HI78" s="14"/>
      <c r="HJ78" s="14"/>
      <c r="HK78" s="14"/>
      <c r="HL78" s="14"/>
      <c r="HM78" s="14"/>
      <c r="HN78" s="14"/>
      <c r="HO78" s="14"/>
      <c r="HP78" s="14"/>
      <c r="HQ78" s="14"/>
      <c r="HR78" s="14"/>
      <c r="HS78" s="14"/>
      <c r="HT78" s="14"/>
      <c r="HU78" s="14"/>
      <c r="HV78" s="14"/>
      <c r="HW78" s="14"/>
      <c r="HX78" s="14"/>
      <c r="HY78" s="14"/>
      <c r="HZ78" s="14"/>
      <c r="IA78" s="14"/>
      <c r="IB78" s="14"/>
      <c r="IC78" s="14"/>
      <c r="ID78" s="14"/>
      <c r="IE78" s="14"/>
      <c r="IF78" s="14"/>
      <c r="IG78" s="14"/>
      <c r="IH78" s="14"/>
      <c r="II78" s="14"/>
      <c r="IJ78" s="14"/>
      <c r="IK78" s="14"/>
      <c r="IL78" s="14"/>
      <c r="IM78" s="14"/>
      <c r="IN78" s="14"/>
      <c r="IO78" s="14"/>
      <c r="IP78" s="14"/>
      <c r="IQ78" s="14"/>
      <c r="IR78" s="14"/>
      <c r="IS78" s="14"/>
      <c r="IT78" s="14"/>
      <c r="IU78" s="14"/>
      <c r="IV78" s="14"/>
      <c r="IW78" s="14"/>
      <c r="IX78" s="14"/>
      <c r="IY78" s="14"/>
      <c r="IZ78" s="14"/>
      <c r="JA78" s="14"/>
      <c r="JB78" s="14"/>
      <c r="JC78" s="14"/>
      <c r="JD78" s="14"/>
      <c r="JE78" s="14"/>
      <c r="JF78" s="14"/>
      <c r="JG78" s="14"/>
      <c r="JH78" s="14"/>
      <c r="JI78" s="14"/>
      <c r="JJ78" s="14"/>
      <c r="JK78" s="14"/>
      <c r="JL78" s="14"/>
      <c r="JM78" s="14"/>
      <c r="JN78" s="14"/>
      <c r="JO78" s="14"/>
      <c r="JP78" s="14"/>
      <c r="JQ78" s="14"/>
      <c r="JR78" s="14"/>
      <c r="JS78" s="14"/>
      <c r="JT78" s="14"/>
      <c r="JU78" s="14"/>
      <c r="JV78" s="14"/>
      <c r="JW78" s="14"/>
      <c r="JX78" s="14"/>
      <c r="JY78" s="14"/>
      <c r="JZ78" s="14"/>
      <c r="KA78" s="14"/>
      <c r="KB78" s="14"/>
      <c r="KC78" s="14"/>
      <c r="KD78" s="14"/>
      <c r="KE78" s="14"/>
      <c r="KF78" s="14"/>
      <c r="KG78" s="14"/>
      <c r="KH78" s="14"/>
      <c r="KI78" s="14"/>
      <c r="KJ78" s="14"/>
      <c r="KK78" s="14"/>
      <c r="KL78" s="14"/>
      <c r="KM78" s="14"/>
      <c r="KN78" s="14"/>
      <c r="KO78" s="14"/>
      <c r="KP78" s="14"/>
      <c r="KQ78" s="14"/>
      <c r="KR78" s="14"/>
      <c r="KS78" s="14"/>
      <c r="KT78" s="14"/>
      <c r="KU78" s="14"/>
      <c r="KV78" s="14"/>
      <c r="KW78" s="14"/>
      <c r="KX78" s="14"/>
      <c r="KY78" s="14"/>
      <c r="KZ78" s="14"/>
      <c r="LA78" s="14"/>
      <c r="LB78" s="14"/>
      <c r="LC78" s="14"/>
      <c r="LD78" s="14"/>
      <c r="LE78" s="14"/>
      <c r="LF78" s="14"/>
      <c r="LG78" s="14"/>
      <c r="LH78" s="14"/>
      <c r="LI78" s="14"/>
      <c r="LJ78" s="14"/>
      <c r="LK78" s="14"/>
      <c r="LL78" s="14"/>
      <c r="LM78" s="14"/>
      <c r="LN78" s="14"/>
      <c r="LO78" s="14"/>
      <c r="LP78" s="14"/>
      <c r="LQ78" s="14"/>
      <c r="LR78" s="14"/>
      <c r="LS78" s="14"/>
      <c r="LT78" s="14"/>
      <c r="LU78" s="14"/>
      <c r="LV78" s="14"/>
      <c r="LW78" s="14"/>
      <c r="LX78" s="14"/>
      <c r="LY78" s="14"/>
      <c r="LZ78" s="14"/>
      <c r="MA78" s="14"/>
      <c r="MB78" s="14"/>
      <c r="MC78" s="14"/>
      <c r="MD78" s="14"/>
      <c r="ME78" s="14"/>
      <c r="MF78" s="14"/>
      <c r="MG78" s="14"/>
      <c r="MH78" s="14"/>
      <c r="MI78" s="14"/>
      <c r="MJ78" s="14"/>
      <c r="MK78" s="14"/>
      <c r="ML78" s="14"/>
      <c r="MM78" s="14"/>
      <c r="MN78" s="14"/>
      <c r="MO78" s="14"/>
      <c r="MP78" s="14"/>
      <c r="MQ78" s="14"/>
      <c r="MR78" s="14"/>
      <c r="MS78" s="14"/>
      <c r="MT78" s="14"/>
      <c r="MU78" s="14"/>
      <c r="MV78" s="14"/>
      <c r="MW78" s="14"/>
      <c r="MX78" s="14"/>
      <c r="MY78" s="14"/>
      <c r="MZ78" s="14"/>
      <c r="NA78" s="14"/>
      <c r="NB78" s="14"/>
      <c r="NC78" s="14"/>
      <c r="ND78" s="14"/>
      <c r="NE78" s="14"/>
      <c r="NF78" s="14"/>
      <c r="NG78" s="14"/>
      <c r="NH78" s="14"/>
      <c r="NI78" s="14"/>
      <c r="NJ78" s="14"/>
      <c r="NK78" s="14"/>
      <c r="NL78" s="14"/>
      <c r="NM78" s="3"/>
      <c r="NN78" s="3"/>
      <c r="NO78" s="3"/>
      <c r="NP78" s="3"/>
      <c r="NQ78" s="3"/>
      <c r="NR78" s="3"/>
      <c r="NS78" s="3"/>
      <c r="NT78" s="3"/>
      <c r="NU78" s="3"/>
      <c r="NV78" s="3"/>
      <c r="NW78" s="3"/>
      <c r="NX78" s="3"/>
      <c r="NY78" s="3"/>
      <c r="NZ78" s="3"/>
      <c r="OA78" s="3"/>
      <c r="OB78" s="3"/>
      <c r="OC78" s="3"/>
      <c r="OD78" s="3"/>
      <c r="OE78" s="3"/>
      <c r="OF78" s="3"/>
    </row>
    <row r="79" ht="13.5" customHeight="1">
      <c r="A79" s="2"/>
      <c r="B79" s="22"/>
      <c r="C79" s="2"/>
      <c r="D79" s="13"/>
      <c r="E79" s="3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14"/>
      <c r="FU79" s="14"/>
      <c r="FV79" s="14"/>
      <c r="FW79" s="14"/>
      <c r="FX79" s="14"/>
      <c r="FY79" s="14"/>
      <c r="FZ79" s="14"/>
      <c r="GA79" s="14"/>
      <c r="GB79" s="14"/>
      <c r="GC79" s="14"/>
      <c r="GD79" s="14"/>
      <c r="GE79" s="14"/>
      <c r="GF79" s="14"/>
      <c r="GG79" s="14"/>
      <c r="GH79" s="14"/>
      <c r="GI79" s="14"/>
      <c r="GJ79" s="14"/>
      <c r="GK79" s="14"/>
      <c r="GL79" s="14"/>
      <c r="GM79" s="14"/>
      <c r="GN79" s="14"/>
      <c r="GO79" s="14"/>
      <c r="GP79" s="14"/>
      <c r="GQ79" s="14"/>
      <c r="GR79" s="14"/>
      <c r="GS79" s="14"/>
      <c r="GT79" s="14"/>
      <c r="GU79" s="14"/>
      <c r="GV79" s="14"/>
      <c r="GW79" s="14"/>
      <c r="GX79" s="14"/>
      <c r="GY79" s="14"/>
      <c r="GZ79" s="14"/>
      <c r="HA79" s="14"/>
      <c r="HB79" s="14"/>
      <c r="HC79" s="14"/>
      <c r="HD79" s="14"/>
      <c r="HE79" s="14"/>
      <c r="HF79" s="14"/>
      <c r="HG79" s="14"/>
      <c r="HH79" s="14"/>
      <c r="HI79" s="14"/>
      <c r="HJ79" s="14"/>
      <c r="HK79" s="14"/>
      <c r="HL79" s="14"/>
      <c r="HM79" s="14"/>
      <c r="HN79" s="14"/>
      <c r="HO79" s="14"/>
      <c r="HP79" s="14"/>
      <c r="HQ79" s="14"/>
      <c r="HR79" s="14"/>
      <c r="HS79" s="14"/>
      <c r="HT79" s="14"/>
      <c r="HU79" s="14"/>
      <c r="HV79" s="14"/>
      <c r="HW79" s="14"/>
      <c r="HX79" s="14"/>
      <c r="HY79" s="14"/>
      <c r="HZ79" s="14"/>
      <c r="IA79" s="14"/>
      <c r="IB79" s="14"/>
      <c r="IC79" s="14"/>
      <c r="ID79" s="14"/>
      <c r="IE79" s="14"/>
      <c r="IF79" s="14"/>
      <c r="IG79" s="14"/>
      <c r="IH79" s="14"/>
      <c r="II79" s="14"/>
      <c r="IJ79" s="14"/>
      <c r="IK79" s="14"/>
      <c r="IL79" s="14"/>
      <c r="IM79" s="14"/>
      <c r="IN79" s="14"/>
      <c r="IO79" s="14"/>
      <c r="IP79" s="14"/>
      <c r="IQ79" s="14"/>
      <c r="IR79" s="14"/>
      <c r="IS79" s="14"/>
      <c r="IT79" s="14"/>
      <c r="IU79" s="14"/>
      <c r="IV79" s="14"/>
      <c r="IW79" s="14"/>
      <c r="IX79" s="14"/>
      <c r="IY79" s="14"/>
      <c r="IZ79" s="14"/>
      <c r="JA79" s="14"/>
      <c r="JB79" s="14"/>
      <c r="JC79" s="14"/>
      <c r="JD79" s="14"/>
      <c r="JE79" s="14"/>
      <c r="JF79" s="14"/>
      <c r="JG79" s="14"/>
      <c r="JH79" s="14"/>
      <c r="JI79" s="14"/>
      <c r="JJ79" s="14"/>
      <c r="JK79" s="14"/>
      <c r="JL79" s="14"/>
      <c r="JM79" s="14"/>
      <c r="JN79" s="14"/>
      <c r="JO79" s="14"/>
      <c r="JP79" s="14"/>
      <c r="JQ79" s="14"/>
      <c r="JR79" s="14"/>
      <c r="JS79" s="14"/>
      <c r="JT79" s="14"/>
      <c r="JU79" s="14"/>
      <c r="JV79" s="14"/>
      <c r="JW79" s="14"/>
      <c r="JX79" s="14"/>
      <c r="JY79" s="14"/>
      <c r="JZ79" s="14"/>
      <c r="KA79" s="14"/>
      <c r="KB79" s="14"/>
      <c r="KC79" s="14"/>
      <c r="KD79" s="14"/>
      <c r="KE79" s="14"/>
      <c r="KF79" s="14"/>
      <c r="KG79" s="14"/>
      <c r="KH79" s="14"/>
      <c r="KI79" s="14"/>
      <c r="KJ79" s="14"/>
      <c r="KK79" s="14"/>
      <c r="KL79" s="14"/>
      <c r="KM79" s="14"/>
      <c r="KN79" s="14"/>
      <c r="KO79" s="14"/>
      <c r="KP79" s="14"/>
      <c r="KQ79" s="14"/>
      <c r="KR79" s="14"/>
      <c r="KS79" s="14"/>
      <c r="KT79" s="14"/>
      <c r="KU79" s="14"/>
      <c r="KV79" s="14"/>
      <c r="KW79" s="14"/>
      <c r="KX79" s="14"/>
      <c r="KY79" s="14"/>
      <c r="KZ79" s="14"/>
      <c r="LA79" s="14"/>
      <c r="LB79" s="14"/>
      <c r="LC79" s="14"/>
      <c r="LD79" s="14"/>
      <c r="LE79" s="14"/>
      <c r="LF79" s="14"/>
      <c r="LG79" s="14"/>
      <c r="LH79" s="14"/>
      <c r="LI79" s="14"/>
      <c r="LJ79" s="14"/>
      <c r="LK79" s="14"/>
      <c r="LL79" s="14"/>
      <c r="LM79" s="14"/>
      <c r="LN79" s="14"/>
      <c r="LO79" s="14"/>
      <c r="LP79" s="14"/>
      <c r="LQ79" s="14"/>
      <c r="LR79" s="14"/>
      <c r="LS79" s="14"/>
      <c r="LT79" s="14"/>
      <c r="LU79" s="14"/>
      <c r="LV79" s="14"/>
      <c r="LW79" s="14"/>
      <c r="LX79" s="14"/>
      <c r="LY79" s="14"/>
      <c r="LZ79" s="14"/>
      <c r="MA79" s="14"/>
      <c r="MB79" s="14"/>
      <c r="MC79" s="14"/>
      <c r="MD79" s="14"/>
      <c r="ME79" s="14"/>
      <c r="MF79" s="14"/>
      <c r="MG79" s="14"/>
      <c r="MH79" s="14"/>
      <c r="MI79" s="14"/>
      <c r="MJ79" s="14"/>
      <c r="MK79" s="14"/>
      <c r="ML79" s="14"/>
      <c r="MM79" s="14"/>
      <c r="MN79" s="14"/>
      <c r="MO79" s="14"/>
      <c r="MP79" s="14"/>
      <c r="MQ79" s="14"/>
      <c r="MR79" s="14"/>
      <c r="MS79" s="14"/>
      <c r="MT79" s="14"/>
      <c r="MU79" s="14"/>
      <c r="MV79" s="14"/>
      <c r="MW79" s="14"/>
      <c r="MX79" s="14"/>
      <c r="MY79" s="14"/>
      <c r="MZ79" s="14"/>
      <c r="NA79" s="14"/>
      <c r="NB79" s="14"/>
      <c r="NC79" s="14"/>
      <c r="ND79" s="14"/>
      <c r="NE79" s="14"/>
      <c r="NF79" s="14"/>
      <c r="NG79" s="14"/>
      <c r="NH79" s="14"/>
      <c r="NI79" s="14"/>
      <c r="NJ79" s="14"/>
      <c r="NK79" s="14"/>
      <c r="NL79" s="14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</row>
    <row r="80" ht="13.5" customHeight="1">
      <c r="A80" s="2"/>
      <c r="B80" s="22"/>
      <c r="C80" s="2"/>
      <c r="D80" s="13"/>
      <c r="E80" s="3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  <c r="FM80" s="14"/>
      <c r="FN80" s="14"/>
      <c r="FO80" s="14"/>
      <c r="FP80" s="14"/>
      <c r="FQ80" s="14"/>
      <c r="FR80" s="14"/>
      <c r="FS80" s="14"/>
      <c r="FT80" s="14"/>
      <c r="FU80" s="14"/>
      <c r="FV80" s="14"/>
      <c r="FW80" s="14"/>
      <c r="FX80" s="14"/>
      <c r="FY80" s="14"/>
      <c r="FZ80" s="14"/>
      <c r="GA80" s="14"/>
      <c r="GB80" s="14"/>
      <c r="GC80" s="14"/>
      <c r="GD80" s="14"/>
      <c r="GE80" s="14"/>
      <c r="GF80" s="14"/>
      <c r="GG80" s="14"/>
      <c r="GH80" s="14"/>
      <c r="GI80" s="14"/>
      <c r="GJ80" s="14"/>
      <c r="GK80" s="14"/>
      <c r="GL80" s="14"/>
      <c r="GM80" s="14"/>
      <c r="GN80" s="14"/>
      <c r="GO80" s="14"/>
      <c r="GP80" s="14"/>
      <c r="GQ80" s="14"/>
      <c r="GR80" s="14"/>
      <c r="GS80" s="14"/>
      <c r="GT80" s="14"/>
      <c r="GU80" s="14"/>
      <c r="GV80" s="14"/>
      <c r="GW80" s="14"/>
      <c r="GX80" s="14"/>
      <c r="GY80" s="14"/>
      <c r="GZ80" s="14"/>
      <c r="HA80" s="14"/>
      <c r="HB80" s="14"/>
      <c r="HC80" s="14"/>
      <c r="HD80" s="14"/>
      <c r="HE80" s="14"/>
      <c r="HF80" s="14"/>
      <c r="HG80" s="14"/>
      <c r="HH80" s="14"/>
      <c r="HI80" s="14"/>
      <c r="HJ80" s="14"/>
      <c r="HK80" s="14"/>
      <c r="HL80" s="14"/>
      <c r="HM80" s="14"/>
      <c r="HN80" s="14"/>
      <c r="HO80" s="14"/>
      <c r="HP80" s="14"/>
      <c r="HQ80" s="14"/>
      <c r="HR80" s="14"/>
      <c r="HS80" s="14"/>
      <c r="HT80" s="14"/>
      <c r="HU80" s="14"/>
      <c r="HV80" s="14"/>
      <c r="HW80" s="14"/>
      <c r="HX80" s="14"/>
      <c r="HY80" s="14"/>
      <c r="HZ80" s="14"/>
      <c r="IA80" s="14"/>
      <c r="IB80" s="14"/>
      <c r="IC80" s="14"/>
      <c r="ID80" s="14"/>
      <c r="IE80" s="14"/>
      <c r="IF80" s="14"/>
      <c r="IG80" s="14"/>
      <c r="IH80" s="14"/>
      <c r="II80" s="14"/>
      <c r="IJ80" s="14"/>
      <c r="IK80" s="14"/>
      <c r="IL80" s="14"/>
      <c r="IM80" s="14"/>
      <c r="IN80" s="14"/>
      <c r="IO80" s="14"/>
      <c r="IP80" s="14"/>
      <c r="IQ80" s="14"/>
      <c r="IR80" s="14"/>
      <c r="IS80" s="14"/>
      <c r="IT80" s="14"/>
      <c r="IU80" s="14"/>
      <c r="IV80" s="14"/>
      <c r="IW80" s="14"/>
      <c r="IX80" s="14"/>
      <c r="IY80" s="14"/>
      <c r="IZ80" s="14"/>
      <c r="JA80" s="14"/>
      <c r="JB80" s="14"/>
      <c r="JC80" s="14"/>
      <c r="JD80" s="14"/>
      <c r="JE80" s="14"/>
      <c r="JF80" s="14"/>
      <c r="JG80" s="14"/>
      <c r="JH80" s="14"/>
      <c r="JI80" s="14"/>
      <c r="JJ80" s="14"/>
      <c r="JK80" s="14"/>
      <c r="JL80" s="14"/>
      <c r="JM80" s="14"/>
      <c r="JN80" s="14"/>
      <c r="JO80" s="14"/>
      <c r="JP80" s="14"/>
      <c r="JQ80" s="14"/>
      <c r="JR80" s="14"/>
      <c r="JS80" s="14"/>
      <c r="JT80" s="14"/>
      <c r="JU80" s="14"/>
      <c r="JV80" s="14"/>
      <c r="JW80" s="14"/>
      <c r="JX80" s="14"/>
      <c r="JY80" s="14"/>
      <c r="JZ80" s="14"/>
      <c r="KA80" s="14"/>
      <c r="KB80" s="14"/>
      <c r="KC80" s="14"/>
      <c r="KD80" s="14"/>
      <c r="KE80" s="14"/>
      <c r="KF80" s="14"/>
      <c r="KG80" s="14"/>
      <c r="KH80" s="14"/>
      <c r="KI80" s="14"/>
      <c r="KJ80" s="14"/>
      <c r="KK80" s="14"/>
      <c r="KL80" s="14"/>
      <c r="KM80" s="14"/>
      <c r="KN80" s="14"/>
      <c r="KO80" s="14"/>
      <c r="KP80" s="14"/>
      <c r="KQ80" s="14"/>
      <c r="KR80" s="14"/>
      <c r="KS80" s="14"/>
      <c r="KT80" s="14"/>
      <c r="KU80" s="14"/>
      <c r="KV80" s="14"/>
      <c r="KW80" s="14"/>
      <c r="KX80" s="14"/>
      <c r="KY80" s="14"/>
      <c r="KZ80" s="14"/>
      <c r="LA80" s="14"/>
      <c r="LB80" s="14"/>
      <c r="LC80" s="14"/>
      <c r="LD80" s="14"/>
      <c r="LE80" s="14"/>
      <c r="LF80" s="14"/>
      <c r="LG80" s="14"/>
      <c r="LH80" s="14"/>
      <c r="LI80" s="14"/>
      <c r="LJ80" s="14"/>
      <c r="LK80" s="14"/>
      <c r="LL80" s="14"/>
      <c r="LM80" s="14"/>
      <c r="LN80" s="14"/>
      <c r="LO80" s="14"/>
      <c r="LP80" s="14"/>
      <c r="LQ80" s="14"/>
      <c r="LR80" s="14"/>
      <c r="LS80" s="14"/>
      <c r="LT80" s="14"/>
      <c r="LU80" s="14"/>
      <c r="LV80" s="14"/>
      <c r="LW80" s="14"/>
      <c r="LX80" s="14"/>
      <c r="LY80" s="14"/>
      <c r="LZ80" s="14"/>
      <c r="MA80" s="14"/>
      <c r="MB80" s="14"/>
      <c r="MC80" s="14"/>
      <c r="MD80" s="14"/>
      <c r="ME80" s="14"/>
      <c r="MF80" s="14"/>
      <c r="MG80" s="14"/>
      <c r="MH80" s="14"/>
      <c r="MI80" s="14"/>
      <c r="MJ80" s="14"/>
      <c r="MK80" s="14"/>
      <c r="ML80" s="14"/>
      <c r="MM80" s="14"/>
      <c r="MN80" s="14"/>
      <c r="MO80" s="14"/>
      <c r="MP80" s="14"/>
      <c r="MQ80" s="14"/>
      <c r="MR80" s="14"/>
      <c r="MS80" s="14"/>
      <c r="MT80" s="14"/>
      <c r="MU80" s="14"/>
      <c r="MV80" s="14"/>
      <c r="MW80" s="14"/>
      <c r="MX80" s="14"/>
      <c r="MY80" s="14"/>
      <c r="MZ80" s="14"/>
      <c r="NA80" s="14"/>
      <c r="NB80" s="14"/>
      <c r="NC80" s="14"/>
      <c r="ND80" s="14"/>
      <c r="NE80" s="14"/>
      <c r="NF80" s="14"/>
      <c r="NG80" s="14"/>
      <c r="NH80" s="14"/>
      <c r="NI80" s="14"/>
      <c r="NJ80" s="14"/>
      <c r="NK80" s="14"/>
      <c r="NL80" s="14"/>
      <c r="NM80" s="3"/>
      <c r="NN80" s="3"/>
      <c r="NO80" s="3"/>
      <c r="NP80" s="3"/>
      <c r="NQ80" s="3"/>
      <c r="NR80" s="3"/>
      <c r="NS80" s="3"/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</row>
    <row r="81" ht="13.5" customHeight="1">
      <c r="A81" s="2"/>
      <c r="B81" s="22"/>
      <c r="C81" s="2"/>
      <c r="D81" s="13"/>
      <c r="E81" s="3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14"/>
      <c r="FU81" s="14"/>
      <c r="FV81" s="14"/>
      <c r="FW81" s="14"/>
      <c r="FX81" s="14"/>
      <c r="FY81" s="14"/>
      <c r="FZ81" s="14"/>
      <c r="GA81" s="14"/>
      <c r="GB81" s="14"/>
      <c r="GC81" s="14"/>
      <c r="GD81" s="14"/>
      <c r="GE81" s="14"/>
      <c r="GF81" s="14"/>
      <c r="GG81" s="14"/>
      <c r="GH81" s="14"/>
      <c r="GI81" s="14"/>
      <c r="GJ81" s="14"/>
      <c r="GK81" s="14"/>
      <c r="GL81" s="14"/>
      <c r="GM81" s="14"/>
      <c r="GN81" s="14"/>
      <c r="GO81" s="14"/>
      <c r="GP81" s="14"/>
      <c r="GQ81" s="14"/>
      <c r="GR81" s="14"/>
      <c r="GS81" s="14"/>
      <c r="GT81" s="14"/>
      <c r="GU81" s="14"/>
      <c r="GV81" s="14"/>
      <c r="GW81" s="14"/>
      <c r="GX81" s="14"/>
      <c r="GY81" s="14"/>
      <c r="GZ81" s="14"/>
      <c r="HA81" s="14"/>
      <c r="HB81" s="14"/>
      <c r="HC81" s="14"/>
      <c r="HD81" s="14"/>
      <c r="HE81" s="14"/>
      <c r="HF81" s="14"/>
      <c r="HG81" s="14"/>
      <c r="HH81" s="14"/>
      <c r="HI81" s="14"/>
      <c r="HJ81" s="14"/>
      <c r="HK81" s="14"/>
      <c r="HL81" s="14"/>
      <c r="HM81" s="14"/>
      <c r="HN81" s="14"/>
      <c r="HO81" s="14"/>
      <c r="HP81" s="14"/>
      <c r="HQ81" s="14"/>
      <c r="HR81" s="14"/>
      <c r="HS81" s="14"/>
      <c r="HT81" s="14"/>
      <c r="HU81" s="14"/>
      <c r="HV81" s="14"/>
      <c r="HW81" s="14"/>
      <c r="HX81" s="14"/>
      <c r="HY81" s="14"/>
      <c r="HZ81" s="14"/>
      <c r="IA81" s="14"/>
      <c r="IB81" s="14"/>
      <c r="IC81" s="14"/>
      <c r="ID81" s="14"/>
      <c r="IE81" s="14"/>
      <c r="IF81" s="14"/>
      <c r="IG81" s="14"/>
      <c r="IH81" s="14"/>
      <c r="II81" s="14"/>
      <c r="IJ81" s="14"/>
      <c r="IK81" s="14"/>
      <c r="IL81" s="14"/>
      <c r="IM81" s="14"/>
      <c r="IN81" s="14"/>
      <c r="IO81" s="14"/>
      <c r="IP81" s="14"/>
      <c r="IQ81" s="14"/>
      <c r="IR81" s="14"/>
      <c r="IS81" s="14"/>
      <c r="IT81" s="14"/>
      <c r="IU81" s="14"/>
      <c r="IV81" s="14"/>
      <c r="IW81" s="14"/>
      <c r="IX81" s="14"/>
      <c r="IY81" s="14"/>
      <c r="IZ81" s="14"/>
      <c r="JA81" s="14"/>
      <c r="JB81" s="14"/>
      <c r="JC81" s="14"/>
      <c r="JD81" s="14"/>
      <c r="JE81" s="14"/>
      <c r="JF81" s="14"/>
      <c r="JG81" s="14"/>
      <c r="JH81" s="14"/>
      <c r="JI81" s="14"/>
      <c r="JJ81" s="14"/>
      <c r="JK81" s="14"/>
      <c r="JL81" s="14"/>
      <c r="JM81" s="14"/>
      <c r="JN81" s="14"/>
      <c r="JO81" s="14"/>
      <c r="JP81" s="14"/>
      <c r="JQ81" s="14"/>
      <c r="JR81" s="14"/>
      <c r="JS81" s="14"/>
      <c r="JT81" s="14"/>
      <c r="JU81" s="14"/>
      <c r="JV81" s="14"/>
      <c r="JW81" s="14"/>
      <c r="JX81" s="14"/>
      <c r="JY81" s="14"/>
      <c r="JZ81" s="14"/>
      <c r="KA81" s="14"/>
      <c r="KB81" s="14"/>
      <c r="KC81" s="14"/>
      <c r="KD81" s="14"/>
      <c r="KE81" s="14"/>
      <c r="KF81" s="14"/>
      <c r="KG81" s="14"/>
      <c r="KH81" s="14"/>
      <c r="KI81" s="14"/>
      <c r="KJ81" s="14"/>
      <c r="KK81" s="14"/>
      <c r="KL81" s="14"/>
      <c r="KM81" s="14"/>
      <c r="KN81" s="14"/>
      <c r="KO81" s="14"/>
      <c r="KP81" s="14"/>
      <c r="KQ81" s="14"/>
      <c r="KR81" s="14"/>
      <c r="KS81" s="14"/>
      <c r="KT81" s="14"/>
      <c r="KU81" s="14"/>
      <c r="KV81" s="14"/>
      <c r="KW81" s="14"/>
      <c r="KX81" s="14"/>
      <c r="KY81" s="14"/>
      <c r="KZ81" s="14"/>
      <c r="LA81" s="14"/>
      <c r="LB81" s="14"/>
      <c r="LC81" s="14"/>
      <c r="LD81" s="14"/>
      <c r="LE81" s="14"/>
      <c r="LF81" s="14"/>
      <c r="LG81" s="14"/>
      <c r="LH81" s="14"/>
      <c r="LI81" s="14"/>
      <c r="LJ81" s="14"/>
      <c r="LK81" s="14"/>
      <c r="LL81" s="14"/>
      <c r="LM81" s="14"/>
      <c r="LN81" s="14"/>
      <c r="LO81" s="14"/>
      <c r="LP81" s="14"/>
      <c r="LQ81" s="14"/>
      <c r="LR81" s="14"/>
      <c r="LS81" s="14"/>
      <c r="LT81" s="14"/>
      <c r="LU81" s="14"/>
      <c r="LV81" s="14"/>
      <c r="LW81" s="14"/>
      <c r="LX81" s="14"/>
      <c r="LY81" s="14"/>
      <c r="LZ81" s="14"/>
      <c r="MA81" s="14"/>
      <c r="MB81" s="14"/>
      <c r="MC81" s="14"/>
      <c r="MD81" s="14"/>
      <c r="ME81" s="14"/>
      <c r="MF81" s="14"/>
      <c r="MG81" s="14"/>
      <c r="MH81" s="14"/>
      <c r="MI81" s="14"/>
      <c r="MJ81" s="14"/>
      <c r="MK81" s="14"/>
      <c r="ML81" s="14"/>
      <c r="MM81" s="14"/>
      <c r="MN81" s="14"/>
      <c r="MO81" s="14"/>
      <c r="MP81" s="14"/>
      <c r="MQ81" s="14"/>
      <c r="MR81" s="14"/>
      <c r="MS81" s="14"/>
      <c r="MT81" s="14"/>
      <c r="MU81" s="14"/>
      <c r="MV81" s="14"/>
      <c r="MW81" s="14"/>
      <c r="MX81" s="14"/>
      <c r="MY81" s="14"/>
      <c r="MZ81" s="14"/>
      <c r="NA81" s="14"/>
      <c r="NB81" s="14"/>
      <c r="NC81" s="14"/>
      <c r="ND81" s="14"/>
      <c r="NE81" s="14"/>
      <c r="NF81" s="14"/>
      <c r="NG81" s="14"/>
      <c r="NH81" s="14"/>
      <c r="NI81" s="14"/>
      <c r="NJ81" s="14"/>
      <c r="NK81" s="14"/>
      <c r="NL81" s="14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</row>
    <row r="82" ht="13.5" customHeight="1">
      <c r="A82" s="2"/>
      <c r="B82" s="22"/>
      <c r="C82" s="2"/>
      <c r="D82" s="13"/>
      <c r="E82" s="3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4"/>
      <c r="FJ82" s="14"/>
      <c r="FK82" s="14"/>
      <c r="FL82" s="14"/>
      <c r="FM82" s="14"/>
      <c r="FN82" s="14"/>
      <c r="FO82" s="14"/>
      <c r="FP82" s="14"/>
      <c r="FQ82" s="14"/>
      <c r="FR82" s="14"/>
      <c r="FS82" s="14"/>
      <c r="FT82" s="14"/>
      <c r="FU82" s="14"/>
      <c r="FV82" s="14"/>
      <c r="FW82" s="14"/>
      <c r="FX82" s="14"/>
      <c r="FY82" s="14"/>
      <c r="FZ82" s="14"/>
      <c r="GA82" s="14"/>
      <c r="GB82" s="14"/>
      <c r="GC82" s="14"/>
      <c r="GD82" s="14"/>
      <c r="GE82" s="14"/>
      <c r="GF82" s="14"/>
      <c r="GG82" s="14"/>
      <c r="GH82" s="14"/>
      <c r="GI82" s="14"/>
      <c r="GJ82" s="14"/>
      <c r="GK82" s="14"/>
      <c r="GL82" s="14"/>
      <c r="GM82" s="14"/>
      <c r="GN82" s="14"/>
      <c r="GO82" s="14"/>
      <c r="GP82" s="14"/>
      <c r="GQ82" s="14"/>
      <c r="GR82" s="14"/>
      <c r="GS82" s="14"/>
      <c r="GT82" s="14"/>
      <c r="GU82" s="14"/>
      <c r="GV82" s="14"/>
      <c r="GW82" s="14"/>
      <c r="GX82" s="14"/>
      <c r="GY82" s="14"/>
      <c r="GZ82" s="14"/>
      <c r="HA82" s="14"/>
      <c r="HB82" s="14"/>
      <c r="HC82" s="14"/>
      <c r="HD82" s="14"/>
      <c r="HE82" s="14"/>
      <c r="HF82" s="14"/>
      <c r="HG82" s="14"/>
      <c r="HH82" s="14"/>
      <c r="HI82" s="14"/>
      <c r="HJ82" s="14"/>
      <c r="HK82" s="14"/>
      <c r="HL82" s="14"/>
      <c r="HM82" s="14"/>
      <c r="HN82" s="14"/>
      <c r="HO82" s="14"/>
      <c r="HP82" s="14"/>
      <c r="HQ82" s="14"/>
      <c r="HR82" s="14"/>
      <c r="HS82" s="14"/>
      <c r="HT82" s="14"/>
      <c r="HU82" s="14"/>
      <c r="HV82" s="14"/>
      <c r="HW82" s="14"/>
      <c r="HX82" s="14"/>
      <c r="HY82" s="14"/>
      <c r="HZ82" s="14"/>
      <c r="IA82" s="14"/>
      <c r="IB82" s="14"/>
      <c r="IC82" s="14"/>
      <c r="ID82" s="14"/>
      <c r="IE82" s="14"/>
      <c r="IF82" s="14"/>
      <c r="IG82" s="14"/>
      <c r="IH82" s="14"/>
      <c r="II82" s="14"/>
      <c r="IJ82" s="14"/>
      <c r="IK82" s="14"/>
      <c r="IL82" s="14"/>
      <c r="IM82" s="14"/>
      <c r="IN82" s="14"/>
      <c r="IO82" s="14"/>
      <c r="IP82" s="14"/>
      <c r="IQ82" s="14"/>
      <c r="IR82" s="14"/>
      <c r="IS82" s="14"/>
      <c r="IT82" s="14"/>
      <c r="IU82" s="14"/>
      <c r="IV82" s="14"/>
      <c r="IW82" s="14"/>
      <c r="IX82" s="14"/>
      <c r="IY82" s="14"/>
      <c r="IZ82" s="14"/>
      <c r="JA82" s="14"/>
      <c r="JB82" s="14"/>
      <c r="JC82" s="14"/>
      <c r="JD82" s="14"/>
      <c r="JE82" s="14"/>
      <c r="JF82" s="14"/>
      <c r="JG82" s="14"/>
      <c r="JH82" s="14"/>
      <c r="JI82" s="14"/>
      <c r="JJ82" s="14"/>
      <c r="JK82" s="14"/>
      <c r="JL82" s="14"/>
      <c r="JM82" s="14"/>
      <c r="JN82" s="14"/>
      <c r="JO82" s="14"/>
      <c r="JP82" s="14"/>
      <c r="JQ82" s="14"/>
      <c r="JR82" s="14"/>
      <c r="JS82" s="14"/>
      <c r="JT82" s="14"/>
      <c r="JU82" s="14"/>
      <c r="JV82" s="14"/>
      <c r="JW82" s="14"/>
      <c r="JX82" s="14"/>
      <c r="JY82" s="14"/>
      <c r="JZ82" s="14"/>
      <c r="KA82" s="14"/>
      <c r="KB82" s="14"/>
      <c r="KC82" s="14"/>
      <c r="KD82" s="14"/>
      <c r="KE82" s="14"/>
      <c r="KF82" s="14"/>
      <c r="KG82" s="14"/>
      <c r="KH82" s="14"/>
      <c r="KI82" s="14"/>
      <c r="KJ82" s="14"/>
      <c r="KK82" s="14"/>
      <c r="KL82" s="14"/>
      <c r="KM82" s="14"/>
      <c r="KN82" s="14"/>
      <c r="KO82" s="14"/>
      <c r="KP82" s="14"/>
      <c r="KQ82" s="14"/>
      <c r="KR82" s="14"/>
      <c r="KS82" s="14"/>
      <c r="KT82" s="14"/>
      <c r="KU82" s="14"/>
      <c r="KV82" s="14"/>
      <c r="KW82" s="14"/>
      <c r="KX82" s="14"/>
      <c r="KY82" s="14"/>
      <c r="KZ82" s="14"/>
      <c r="LA82" s="14"/>
      <c r="LB82" s="14"/>
      <c r="LC82" s="14"/>
      <c r="LD82" s="14"/>
      <c r="LE82" s="14"/>
      <c r="LF82" s="14"/>
      <c r="LG82" s="14"/>
      <c r="LH82" s="14"/>
      <c r="LI82" s="14"/>
      <c r="LJ82" s="14"/>
      <c r="LK82" s="14"/>
      <c r="LL82" s="14"/>
      <c r="LM82" s="14"/>
      <c r="LN82" s="14"/>
      <c r="LO82" s="14"/>
      <c r="LP82" s="14"/>
      <c r="LQ82" s="14"/>
      <c r="LR82" s="14"/>
      <c r="LS82" s="14"/>
      <c r="LT82" s="14"/>
      <c r="LU82" s="14"/>
      <c r="LV82" s="14"/>
      <c r="LW82" s="14"/>
      <c r="LX82" s="14"/>
      <c r="LY82" s="14"/>
      <c r="LZ82" s="14"/>
      <c r="MA82" s="14"/>
      <c r="MB82" s="14"/>
      <c r="MC82" s="14"/>
      <c r="MD82" s="14"/>
      <c r="ME82" s="14"/>
      <c r="MF82" s="14"/>
      <c r="MG82" s="14"/>
      <c r="MH82" s="14"/>
      <c r="MI82" s="14"/>
      <c r="MJ82" s="14"/>
      <c r="MK82" s="14"/>
      <c r="ML82" s="14"/>
      <c r="MM82" s="14"/>
      <c r="MN82" s="14"/>
      <c r="MO82" s="14"/>
      <c r="MP82" s="14"/>
      <c r="MQ82" s="14"/>
      <c r="MR82" s="14"/>
      <c r="MS82" s="14"/>
      <c r="MT82" s="14"/>
      <c r="MU82" s="14"/>
      <c r="MV82" s="14"/>
      <c r="MW82" s="14"/>
      <c r="MX82" s="14"/>
      <c r="MY82" s="14"/>
      <c r="MZ82" s="14"/>
      <c r="NA82" s="14"/>
      <c r="NB82" s="14"/>
      <c r="NC82" s="14"/>
      <c r="ND82" s="14"/>
      <c r="NE82" s="14"/>
      <c r="NF82" s="14"/>
      <c r="NG82" s="14"/>
      <c r="NH82" s="14"/>
      <c r="NI82" s="14"/>
      <c r="NJ82" s="14"/>
      <c r="NK82" s="14"/>
      <c r="NL82" s="14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</row>
    <row r="83" ht="13.5" customHeight="1">
      <c r="A83" s="2"/>
      <c r="B83" s="22"/>
      <c r="C83" s="2"/>
      <c r="D83" s="13"/>
      <c r="E83" s="3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4"/>
      <c r="FJ83" s="14"/>
      <c r="FK83" s="14"/>
      <c r="FL83" s="14"/>
      <c r="FM83" s="14"/>
      <c r="FN83" s="14"/>
      <c r="FO83" s="14"/>
      <c r="FP83" s="14"/>
      <c r="FQ83" s="14"/>
      <c r="FR83" s="14"/>
      <c r="FS83" s="14"/>
      <c r="FT83" s="14"/>
      <c r="FU83" s="14"/>
      <c r="FV83" s="14"/>
      <c r="FW83" s="14"/>
      <c r="FX83" s="14"/>
      <c r="FY83" s="14"/>
      <c r="FZ83" s="14"/>
      <c r="GA83" s="14"/>
      <c r="GB83" s="14"/>
      <c r="GC83" s="14"/>
      <c r="GD83" s="14"/>
      <c r="GE83" s="14"/>
      <c r="GF83" s="14"/>
      <c r="GG83" s="14"/>
      <c r="GH83" s="14"/>
      <c r="GI83" s="14"/>
      <c r="GJ83" s="14"/>
      <c r="GK83" s="14"/>
      <c r="GL83" s="14"/>
      <c r="GM83" s="14"/>
      <c r="GN83" s="14"/>
      <c r="GO83" s="14"/>
      <c r="GP83" s="14"/>
      <c r="GQ83" s="14"/>
      <c r="GR83" s="14"/>
      <c r="GS83" s="14"/>
      <c r="GT83" s="14"/>
      <c r="GU83" s="14"/>
      <c r="GV83" s="14"/>
      <c r="GW83" s="14"/>
      <c r="GX83" s="14"/>
      <c r="GY83" s="14"/>
      <c r="GZ83" s="14"/>
      <c r="HA83" s="14"/>
      <c r="HB83" s="14"/>
      <c r="HC83" s="14"/>
      <c r="HD83" s="14"/>
      <c r="HE83" s="14"/>
      <c r="HF83" s="14"/>
      <c r="HG83" s="14"/>
      <c r="HH83" s="14"/>
      <c r="HI83" s="14"/>
      <c r="HJ83" s="14"/>
      <c r="HK83" s="14"/>
      <c r="HL83" s="14"/>
      <c r="HM83" s="14"/>
      <c r="HN83" s="14"/>
      <c r="HO83" s="14"/>
      <c r="HP83" s="14"/>
      <c r="HQ83" s="14"/>
      <c r="HR83" s="14"/>
      <c r="HS83" s="14"/>
      <c r="HT83" s="14"/>
      <c r="HU83" s="14"/>
      <c r="HV83" s="14"/>
      <c r="HW83" s="14"/>
      <c r="HX83" s="14"/>
      <c r="HY83" s="14"/>
      <c r="HZ83" s="14"/>
      <c r="IA83" s="14"/>
      <c r="IB83" s="14"/>
      <c r="IC83" s="14"/>
      <c r="ID83" s="14"/>
      <c r="IE83" s="14"/>
      <c r="IF83" s="14"/>
      <c r="IG83" s="14"/>
      <c r="IH83" s="14"/>
      <c r="II83" s="14"/>
      <c r="IJ83" s="14"/>
      <c r="IK83" s="14"/>
      <c r="IL83" s="14"/>
      <c r="IM83" s="14"/>
      <c r="IN83" s="14"/>
      <c r="IO83" s="14"/>
      <c r="IP83" s="14"/>
      <c r="IQ83" s="14"/>
      <c r="IR83" s="14"/>
      <c r="IS83" s="14"/>
      <c r="IT83" s="14"/>
      <c r="IU83" s="14"/>
      <c r="IV83" s="14"/>
      <c r="IW83" s="14"/>
      <c r="IX83" s="14"/>
      <c r="IY83" s="14"/>
      <c r="IZ83" s="14"/>
      <c r="JA83" s="14"/>
      <c r="JB83" s="14"/>
      <c r="JC83" s="14"/>
      <c r="JD83" s="14"/>
      <c r="JE83" s="14"/>
      <c r="JF83" s="14"/>
      <c r="JG83" s="14"/>
      <c r="JH83" s="14"/>
      <c r="JI83" s="14"/>
      <c r="JJ83" s="14"/>
      <c r="JK83" s="14"/>
      <c r="JL83" s="14"/>
      <c r="JM83" s="14"/>
      <c r="JN83" s="14"/>
      <c r="JO83" s="14"/>
      <c r="JP83" s="14"/>
      <c r="JQ83" s="14"/>
      <c r="JR83" s="14"/>
      <c r="JS83" s="14"/>
      <c r="JT83" s="14"/>
      <c r="JU83" s="14"/>
      <c r="JV83" s="14"/>
      <c r="JW83" s="14"/>
      <c r="JX83" s="14"/>
      <c r="JY83" s="14"/>
      <c r="JZ83" s="14"/>
      <c r="KA83" s="14"/>
      <c r="KB83" s="14"/>
      <c r="KC83" s="14"/>
      <c r="KD83" s="14"/>
      <c r="KE83" s="14"/>
      <c r="KF83" s="14"/>
      <c r="KG83" s="14"/>
      <c r="KH83" s="14"/>
      <c r="KI83" s="14"/>
      <c r="KJ83" s="14"/>
      <c r="KK83" s="14"/>
      <c r="KL83" s="14"/>
      <c r="KM83" s="14"/>
      <c r="KN83" s="14"/>
      <c r="KO83" s="14"/>
      <c r="KP83" s="14"/>
      <c r="KQ83" s="14"/>
      <c r="KR83" s="14"/>
      <c r="KS83" s="14"/>
      <c r="KT83" s="14"/>
      <c r="KU83" s="14"/>
      <c r="KV83" s="14"/>
      <c r="KW83" s="14"/>
      <c r="KX83" s="14"/>
      <c r="KY83" s="14"/>
      <c r="KZ83" s="14"/>
      <c r="LA83" s="14"/>
      <c r="LB83" s="14"/>
      <c r="LC83" s="14"/>
      <c r="LD83" s="14"/>
      <c r="LE83" s="14"/>
      <c r="LF83" s="14"/>
      <c r="LG83" s="14"/>
      <c r="LH83" s="14"/>
      <c r="LI83" s="14"/>
      <c r="LJ83" s="14"/>
      <c r="LK83" s="14"/>
      <c r="LL83" s="14"/>
      <c r="LM83" s="14"/>
      <c r="LN83" s="14"/>
      <c r="LO83" s="14"/>
      <c r="LP83" s="14"/>
      <c r="LQ83" s="14"/>
      <c r="LR83" s="14"/>
      <c r="LS83" s="14"/>
      <c r="LT83" s="14"/>
      <c r="LU83" s="14"/>
      <c r="LV83" s="14"/>
      <c r="LW83" s="14"/>
      <c r="LX83" s="14"/>
      <c r="LY83" s="14"/>
      <c r="LZ83" s="14"/>
      <c r="MA83" s="14"/>
      <c r="MB83" s="14"/>
      <c r="MC83" s="14"/>
      <c r="MD83" s="14"/>
      <c r="ME83" s="14"/>
      <c r="MF83" s="14"/>
      <c r="MG83" s="14"/>
      <c r="MH83" s="14"/>
      <c r="MI83" s="14"/>
      <c r="MJ83" s="14"/>
      <c r="MK83" s="14"/>
      <c r="ML83" s="14"/>
      <c r="MM83" s="14"/>
      <c r="MN83" s="14"/>
      <c r="MO83" s="14"/>
      <c r="MP83" s="14"/>
      <c r="MQ83" s="14"/>
      <c r="MR83" s="14"/>
      <c r="MS83" s="14"/>
      <c r="MT83" s="14"/>
      <c r="MU83" s="14"/>
      <c r="MV83" s="14"/>
      <c r="MW83" s="14"/>
      <c r="MX83" s="14"/>
      <c r="MY83" s="14"/>
      <c r="MZ83" s="14"/>
      <c r="NA83" s="14"/>
      <c r="NB83" s="14"/>
      <c r="NC83" s="14"/>
      <c r="ND83" s="14"/>
      <c r="NE83" s="14"/>
      <c r="NF83" s="14"/>
      <c r="NG83" s="14"/>
      <c r="NH83" s="14"/>
      <c r="NI83" s="14"/>
      <c r="NJ83" s="14"/>
      <c r="NK83" s="14"/>
      <c r="NL83" s="14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</row>
    <row r="84" ht="13.5" customHeight="1">
      <c r="A84" s="2"/>
      <c r="B84" s="22"/>
      <c r="C84" s="2"/>
      <c r="D84" s="13"/>
      <c r="E84" s="3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4"/>
      <c r="FJ84" s="14"/>
      <c r="FK84" s="14"/>
      <c r="FL84" s="14"/>
      <c r="FM84" s="14"/>
      <c r="FN84" s="14"/>
      <c r="FO84" s="14"/>
      <c r="FP84" s="14"/>
      <c r="FQ84" s="14"/>
      <c r="FR84" s="14"/>
      <c r="FS84" s="14"/>
      <c r="FT84" s="14"/>
      <c r="FU84" s="14"/>
      <c r="FV84" s="14"/>
      <c r="FW84" s="14"/>
      <c r="FX84" s="14"/>
      <c r="FY84" s="14"/>
      <c r="FZ84" s="14"/>
      <c r="GA84" s="14"/>
      <c r="GB84" s="14"/>
      <c r="GC84" s="14"/>
      <c r="GD84" s="14"/>
      <c r="GE84" s="14"/>
      <c r="GF84" s="14"/>
      <c r="GG84" s="14"/>
      <c r="GH84" s="14"/>
      <c r="GI84" s="14"/>
      <c r="GJ84" s="14"/>
      <c r="GK84" s="14"/>
      <c r="GL84" s="14"/>
      <c r="GM84" s="14"/>
      <c r="GN84" s="14"/>
      <c r="GO84" s="14"/>
      <c r="GP84" s="14"/>
      <c r="GQ84" s="14"/>
      <c r="GR84" s="14"/>
      <c r="GS84" s="14"/>
      <c r="GT84" s="14"/>
      <c r="GU84" s="14"/>
      <c r="GV84" s="14"/>
      <c r="GW84" s="14"/>
      <c r="GX84" s="14"/>
      <c r="GY84" s="14"/>
      <c r="GZ84" s="14"/>
      <c r="HA84" s="14"/>
      <c r="HB84" s="14"/>
      <c r="HC84" s="14"/>
      <c r="HD84" s="14"/>
      <c r="HE84" s="14"/>
      <c r="HF84" s="14"/>
      <c r="HG84" s="14"/>
      <c r="HH84" s="14"/>
      <c r="HI84" s="14"/>
      <c r="HJ84" s="14"/>
      <c r="HK84" s="14"/>
      <c r="HL84" s="14"/>
      <c r="HM84" s="14"/>
      <c r="HN84" s="14"/>
      <c r="HO84" s="14"/>
      <c r="HP84" s="14"/>
      <c r="HQ84" s="14"/>
      <c r="HR84" s="14"/>
      <c r="HS84" s="14"/>
      <c r="HT84" s="14"/>
      <c r="HU84" s="14"/>
      <c r="HV84" s="14"/>
      <c r="HW84" s="14"/>
      <c r="HX84" s="14"/>
      <c r="HY84" s="14"/>
      <c r="HZ84" s="14"/>
      <c r="IA84" s="14"/>
      <c r="IB84" s="14"/>
      <c r="IC84" s="14"/>
      <c r="ID84" s="14"/>
      <c r="IE84" s="14"/>
      <c r="IF84" s="14"/>
      <c r="IG84" s="14"/>
      <c r="IH84" s="14"/>
      <c r="II84" s="14"/>
      <c r="IJ84" s="14"/>
      <c r="IK84" s="14"/>
      <c r="IL84" s="14"/>
      <c r="IM84" s="14"/>
      <c r="IN84" s="14"/>
      <c r="IO84" s="14"/>
      <c r="IP84" s="14"/>
      <c r="IQ84" s="14"/>
      <c r="IR84" s="14"/>
      <c r="IS84" s="14"/>
      <c r="IT84" s="14"/>
      <c r="IU84" s="14"/>
      <c r="IV84" s="14"/>
      <c r="IW84" s="14"/>
      <c r="IX84" s="14"/>
      <c r="IY84" s="14"/>
      <c r="IZ84" s="14"/>
      <c r="JA84" s="14"/>
      <c r="JB84" s="14"/>
      <c r="JC84" s="14"/>
      <c r="JD84" s="14"/>
      <c r="JE84" s="14"/>
      <c r="JF84" s="14"/>
      <c r="JG84" s="14"/>
      <c r="JH84" s="14"/>
      <c r="JI84" s="14"/>
      <c r="JJ84" s="14"/>
      <c r="JK84" s="14"/>
      <c r="JL84" s="14"/>
      <c r="JM84" s="14"/>
      <c r="JN84" s="14"/>
      <c r="JO84" s="14"/>
      <c r="JP84" s="14"/>
      <c r="JQ84" s="14"/>
      <c r="JR84" s="14"/>
      <c r="JS84" s="14"/>
      <c r="JT84" s="14"/>
      <c r="JU84" s="14"/>
      <c r="JV84" s="14"/>
      <c r="JW84" s="14"/>
      <c r="JX84" s="14"/>
      <c r="JY84" s="14"/>
      <c r="JZ84" s="14"/>
      <c r="KA84" s="14"/>
      <c r="KB84" s="14"/>
      <c r="KC84" s="14"/>
      <c r="KD84" s="14"/>
      <c r="KE84" s="14"/>
      <c r="KF84" s="14"/>
      <c r="KG84" s="14"/>
      <c r="KH84" s="14"/>
      <c r="KI84" s="14"/>
      <c r="KJ84" s="14"/>
      <c r="KK84" s="14"/>
      <c r="KL84" s="14"/>
      <c r="KM84" s="14"/>
      <c r="KN84" s="14"/>
      <c r="KO84" s="14"/>
      <c r="KP84" s="14"/>
      <c r="KQ84" s="14"/>
      <c r="KR84" s="14"/>
      <c r="KS84" s="14"/>
      <c r="KT84" s="14"/>
      <c r="KU84" s="14"/>
      <c r="KV84" s="14"/>
      <c r="KW84" s="14"/>
      <c r="KX84" s="14"/>
      <c r="KY84" s="14"/>
      <c r="KZ84" s="14"/>
      <c r="LA84" s="14"/>
      <c r="LB84" s="14"/>
      <c r="LC84" s="14"/>
      <c r="LD84" s="14"/>
      <c r="LE84" s="14"/>
      <c r="LF84" s="14"/>
      <c r="LG84" s="14"/>
      <c r="LH84" s="14"/>
      <c r="LI84" s="14"/>
      <c r="LJ84" s="14"/>
      <c r="LK84" s="14"/>
      <c r="LL84" s="14"/>
      <c r="LM84" s="14"/>
      <c r="LN84" s="14"/>
      <c r="LO84" s="14"/>
      <c r="LP84" s="14"/>
      <c r="LQ84" s="14"/>
      <c r="LR84" s="14"/>
      <c r="LS84" s="14"/>
      <c r="LT84" s="14"/>
      <c r="LU84" s="14"/>
      <c r="LV84" s="14"/>
      <c r="LW84" s="14"/>
      <c r="LX84" s="14"/>
      <c r="LY84" s="14"/>
      <c r="LZ84" s="14"/>
      <c r="MA84" s="14"/>
      <c r="MB84" s="14"/>
      <c r="MC84" s="14"/>
      <c r="MD84" s="14"/>
      <c r="ME84" s="14"/>
      <c r="MF84" s="14"/>
      <c r="MG84" s="14"/>
      <c r="MH84" s="14"/>
      <c r="MI84" s="14"/>
      <c r="MJ84" s="14"/>
      <c r="MK84" s="14"/>
      <c r="ML84" s="14"/>
      <c r="MM84" s="14"/>
      <c r="MN84" s="14"/>
      <c r="MO84" s="14"/>
      <c r="MP84" s="14"/>
      <c r="MQ84" s="14"/>
      <c r="MR84" s="14"/>
      <c r="MS84" s="14"/>
      <c r="MT84" s="14"/>
      <c r="MU84" s="14"/>
      <c r="MV84" s="14"/>
      <c r="MW84" s="14"/>
      <c r="MX84" s="14"/>
      <c r="MY84" s="14"/>
      <c r="MZ84" s="14"/>
      <c r="NA84" s="14"/>
      <c r="NB84" s="14"/>
      <c r="NC84" s="14"/>
      <c r="ND84" s="14"/>
      <c r="NE84" s="14"/>
      <c r="NF84" s="14"/>
      <c r="NG84" s="14"/>
      <c r="NH84" s="14"/>
      <c r="NI84" s="14"/>
      <c r="NJ84" s="14"/>
      <c r="NK84" s="14"/>
      <c r="NL84" s="14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</row>
    <row r="85" ht="13.5" customHeight="1">
      <c r="A85" s="2"/>
      <c r="B85" s="22"/>
      <c r="C85" s="2"/>
      <c r="D85" s="13"/>
      <c r="E85" s="3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4"/>
      <c r="FK85" s="14"/>
      <c r="FL85" s="14"/>
      <c r="FM85" s="14"/>
      <c r="FN85" s="14"/>
      <c r="FO85" s="14"/>
      <c r="FP85" s="14"/>
      <c r="FQ85" s="14"/>
      <c r="FR85" s="14"/>
      <c r="FS85" s="14"/>
      <c r="FT85" s="14"/>
      <c r="FU85" s="14"/>
      <c r="FV85" s="14"/>
      <c r="FW85" s="14"/>
      <c r="FX85" s="14"/>
      <c r="FY85" s="14"/>
      <c r="FZ85" s="14"/>
      <c r="GA85" s="14"/>
      <c r="GB85" s="14"/>
      <c r="GC85" s="14"/>
      <c r="GD85" s="14"/>
      <c r="GE85" s="14"/>
      <c r="GF85" s="14"/>
      <c r="GG85" s="14"/>
      <c r="GH85" s="14"/>
      <c r="GI85" s="14"/>
      <c r="GJ85" s="14"/>
      <c r="GK85" s="14"/>
      <c r="GL85" s="14"/>
      <c r="GM85" s="14"/>
      <c r="GN85" s="14"/>
      <c r="GO85" s="14"/>
      <c r="GP85" s="14"/>
      <c r="GQ85" s="14"/>
      <c r="GR85" s="14"/>
      <c r="GS85" s="14"/>
      <c r="GT85" s="14"/>
      <c r="GU85" s="14"/>
      <c r="GV85" s="14"/>
      <c r="GW85" s="14"/>
      <c r="GX85" s="14"/>
      <c r="GY85" s="14"/>
      <c r="GZ85" s="14"/>
      <c r="HA85" s="14"/>
      <c r="HB85" s="14"/>
      <c r="HC85" s="14"/>
      <c r="HD85" s="14"/>
      <c r="HE85" s="14"/>
      <c r="HF85" s="14"/>
      <c r="HG85" s="14"/>
      <c r="HH85" s="14"/>
      <c r="HI85" s="14"/>
      <c r="HJ85" s="14"/>
      <c r="HK85" s="14"/>
      <c r="HL85" s="14"/>
      <c r="HM85" s="14"/>
      <c r="HN85" s="14"/>
      <c r="HO85" s="14"/>
      <c r="HP85" s="14"/>
      <c r="HQ85" s="14"/>
      <c r="HR85" s="14"/>
      <c r="HS85" s="14"/>
      <c r="HT85" s="14"/>
      <c r="HU85" s="14"/>
      <c r="HV85" s="14"/>
      <c r="HW85" s="14"/>
      <c r="HX85" s="14"/>
      <c r="HY85" s="14"/>
      <c r="HZ85" s="14"/>
      <c r="IA85" s="14"/>
      <c r="IB85" s="14"/>
      <c r="IC85" s="14"/>
      <c r="ID85" s="14"/>
      <c r="IE85" s="14"/>
      <c r="IF85" s="14"/>
      <c r="IG85" s="14"/>
      <c r="IH85" s="14"/>
      <c r="II85" s="14"/>
      <c r="IJ85" s="14"/>
      <c r="IK85" s="14"/>
      <c r="IL85" s="14"/>
      <c r="IM85" s="14"/>
      <c r="IN85" s="14"/>
      <c r="IO85" s="14"/>
      <c r="IP85" s="14"/>
      <c r="IQ85" s="14"/>
      <c r="IR85" s="14"/>
      <c r="IS85" s="14"/>
      <c r="IT85" s="14"/>
      <c r="IU85" s="14"/>
      <c r="IV85" s="14"/>
      <c r="IW85" s="14"/>
      <c r="IX85" s="14"/>
      <c r="IY85" s="14"/>
      <c r="IZ85" s="14"/>
      <c r="JA85" s="14"/>
      <c r="JB85" s="14"/>
      <c r="JC85" s="14"/>
      <c r="JD85" s="14"/>
      <c r="JE85" s="14"/>
      <c r="JF85" s="14"/>
      <c r="JG85" s="14"/>
      <c r="JH85" s="14"/>
      <c r="JI85" s="14"/>
      <c r="JJ85" s="14"/>
      <c r="JK85" s="14"/>
      <c r="JL85" s="14"/>
      <c r="JM85" s="14"/>
      <c r="JN85" s="14"/>
      <c r="JO85" s="14"/>
      <c r="JP85" s="14"/>
      <c r="JQ85" s="14"/>
      <c r="JR85" s="14"/>
      <c r="JS85" s="14"/>
      <c r="JT85" s="14"/>
      <c r="JU85" s="14"/>
      <c r="JV85" s="14"/>
      <c r="JW85" s="14"/>
      <c r="JX85" s="14"/>
      <c r="JY85" s="14"/>
      <c r="JZ85" s="14"/>
      <c r="KA85" s="14"/>
      <c r="KB85" s="14"/>
      <c r="KC85" s="14"/>
      <c r="KD85" s="14"/>
      <c r="KE85" s="14"/>
      <c r="KF85" s="14"/>
      <c r="KG85" s="14"/>
      <c r="KH85" s="14"/>
      <c r="KI85" s="14"/>
      <c r="KJ85" s="14"/>
      <c r="KK85" s="14"/>
      <c r="KL85" s="14"/>
      <c r="KM85" s="14"/>
      <c r="KN85" s="14"/>
      <c r="KO85" s="14"/>
      <c r="KP85" s="14"/>
      <c r="KQ85" s="14"/>
      <c r="KR85" s="14"/>
      <c r="KS85" s="14"/>
      <c r="KT85" s="14"/>
      <c r="KU85" s="14"/>
      <c r="KV85" s="14"/>
      <c r="KW85" s="14"/>
      <c r="KX85" s="14"/>
      <c r="KY85" s="14"/>
      <c r="KZ85" s="14"/>
      <c r="LA85" s="14"/>
      <c r="LB85" s="14"/>
      <c r="LC85" s="14"/>
      <c r="LD85" s="14"/>
      <c r="LE85" s="14"/>
      <c r="LF85" s="14"/>
      <c r="LG85" s="14"/>
      <c r="LH85" s="14"/>
      <c r="LI85" s="14"/>
      <c r="LJ85" s="14"/>
      <c r="LK85" s="14"/>
      <c r="LL85" s="14"/>
      <c r="LM85" s="14"/>
      <c r="LN85" s="14"/>
      <c r="LO85" s="14"/>
      <c r="LP85" s="14"/>
      <c r="LQ85" s="14"/>
      <c r="LR85" s="14"/>
      <c r="LS85" s="14"/>
      <c r="LT85" s="14"/>
      <c r="LU85" s="14"/>
      <c r="LV85" s="14"/>
      <c r="LW85" s="14"/>
      <c r="LX85" s="14"/>
      <c r="LY85" s="14"/>
      <c r="LZ85" s="14"/>
      <c r="MA85" s="14"/>
      <c r="MB85" s="14"/>
      <c r="MC85" s="14"/>
      <c r="MD85" s="14"/>
      <c r="ME85" s="14"/>
      <c r="MF85" s="14"/>
      <c r="MG85" s="14"/>
      <c r="MH85" s="14"/>
      <c r="MI85" s="14"/>
      <c r="MJ85" s="14"/>
      <c r="MK85" s="14"/>
      <c r="ML85" s="14"/>
      <c r="MM85" s="14"/>
      <c r="MN85" s="14"/>
      <c r="MO85" s="14"/>
      <c r="MP85" s="14"/>
      <c r="MQ85" s="14"/>
      <c r="MR85" s="14"/>
      <c r="MS85" s="14"/>
      <c r="MT85" s="14"/>
      <c r="MU85" s="14"/>
      <c r="MV85" s="14"/>
      <c r="MW85" s="14"/>
      <c r="MX85" s="14"/>
      <c r="MY85" s="14"/>
      <c r="MZ85" s="14"/>
      <c r="NA85" s="14"/>
      <c r="NB85" s="14"/>
      <c r="NC85" s="14"/>
      <c r="ND85" s="14"/>
      <c r="NE85" s="14"/>
      <c r="NF85" s="14"/>
      <c r="NG85" s="14"/>
      <c r="NH85" s="14"/>
      <c r="NI85" s="14"/>
      <c r="NJ85" s="14"/>
      <c r="NK85" s="14"/>
      <c r="NL85" s="14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</row>
    <row r="86" ht="13.5" customHeight="1">
      <c r="A86" s="2"/>
      <c r="B86" s="22"/>
      <c r="C86" s="2"/>
      <c r="D86" s="13"/>
      <c r="E86" s="3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4"/>
      <c r="FJ86" s="14"/>
      <c r="FK86" s="14"/>
      <c r="FL86" s="14"/>
      <c r="FM86" s="14"/>
      <c r="FN86" s="14"/>
      <c r="FO86" s="14"/>
      <c r="FP86" s="14"/>
      <c r="FQ86" s="14"/>
      <c r="FR86" s="14"/>
      <c r="FS86" s="14"/>
      <c r="FT86" s="14"/>
      <c r="FU86" s="14"/>
      <c r="FV86" s="14"/>
      <c r="FW86" s="14"/>
      <c r="FX86" s="14"/>
      <c r="FY86" s="14"/>
      <c r="FZ86" s="14"/>
      <c r="GA86" s="14"/>
      <c r="GB86" s="14"/>
      <c r="GC86" s="14"/>
      <c r="GD86" s="14"/>
      <c r="GE86" s="14"/>
      <c r="GF86" s="14"/>
      <c r="GG86" s="14"/>
      <c r="GH86" s="14"/>
      <c r="GI86" s="14"/>
      <c r="GJ86" s="14"/>
      <c r="GK86" s="14"/>
      <c r="GL86" s="14"/>
      <c r="GM86" s="14"/>
      <c r="GN86" s="14"/>
      <c r="GO86" s="14"/>
      <c r="GP86" s="14"/>
      <c r="GQ86" s="14"/>
      <c r="GR86" s="14"/>
      <c r="GS86" s="14"/>
      <c r="GT86" s="14"/>
      <c r="GU86" s="14"/>
      <c r="GV86" s="14"/>
      <c r="GW86" s="14"/>
      <c r="GX86" s="14"/>
      <c r="GY86" s="14"/>
      <c r="GZ86" s="14"/>
      <c r="HA86" s="14"/>
      <c r="HB86" s="14"/>
      <c r="HC86" s="14"/>
      <c r="HD86" s="14"/>
      <c r="HE86" s="14"/>
      <c r="HF86" s="14"/>
      <c r="HG86" s="14"/>
      <c r="HH86" s="14"/>
      <c r="HI86" s="14"/>
      <c r="HJ86" s="14"/>
      <c r="HK86" s="14"/>
      <c r="HL86" s="14"/>
      <c r="HM86" s="14"/>
      <c r="HN86" s="14"/>
      <c r="HO86" s="14"/>
      <c r="HP86" s="14"/>
      <c r="HQ86" s="14"/>
      <c r="HR86" s="14"/>
      <c r="HS86" s="14"/>
      <c r="HT86" s="14"/>
      <c r="HU86" s="14"/>
      <c r="HV86" s="14"/>
      <c r="HW86" s="14"/>
      <c r="HX86" s="14"/>
      <c r="HY86" s="14"/>
      <c r="HZ86" s="14"/>
      <c r="IA86" s="14"/>
      <c r="IB86" s="14"/>
      <c r="IC86" s="14"/>
      <c r="ID86" s="14"/>
      <c r="IE86" s="14"/>
      <c r="IF86" s="14"/>
      <c r="IG86" s="14"/>
      <c r="IH86" s="14"/>
      <c r="II86" s="14"/>
      <c r="IJ86" s="14"/>
      <c r="IK86" s="14"/>
      <c r="IL86" s="14"/>
      <c r="IM86" s="14"/>
      <c r="IN86" s="14"/>
      <c r="IO86" s="14"/>
      <c r="IP86" s="14"/>
      <c r="IQ86" s="14"/>
      <c r="IR86" s="14"/>
      <c r="IS86" s="14"/>
      <c r="IT86" s="14"/>
      <c r="IU86" s="14"/>
      <c r="IV86" s="14"/>
      <c r="IW86" s="14"/>
      <c r="IX86" s="14"/>
      <c r="IY86" s="14"/>
      <c r="IZ86" s="14"/>
      <c r="JA86" s="14"/>
      <c r="JB86" s="14"/>
      <c r="JC86" s="14"/>
      <c r="JD86" s="14"/>
      <c r="JE86" s="14"/>
      <c r="JF86" s="14"/>
      <c r="JG86" s="14"/>
      <c r="JH86" s="14"/>
      <c r="JI86" s="14"/>
      <c r="JJ86" s="14"/>
      <c r="JK86" s="14"/>
      <c r="JL86" s="14"/>
      <c r="JM86" s="14"/>
      <c r="JN86" s="14"/>
      <c r="JO86" s="14"/>
      <c r="JP86" s="14"/>
      <c r="JQ86" s="14"/>
      <c r="JR86" s="14"/>
      <c r="JS86" s="14"/>
      <c r="JT86" s="14"/>
      <c r="JU86" s="14"/>
      <c r="JV86" s="14"/>
      <c r="JW86" s="14"/>
      <c r="JX86" s="14"/>
      <c r="JY86" s="14"/>
      <c r="JZ86" s="14"/>
      <c r="KA86" s="14"/>
      <c r="KB86" s="14"/>
      <c r="KC86" s="14"/>
      <c r="KD86" s="14"/>
      <c r="KE86" s="14"/>
      <c r="KF86" s="14"/>
      <c r="KG86" s="14"/>
      <c r="KH86" s="14"/>
      <c r="KI86" s="14"/>
      <c r="KJ86" s="14"/>
      <c r="KK86" s="14"/>
      <c r="KL86" s="14"/>
      <c r="KM86" s="14"/>
      <c r="KN86" s="14"/>
      <c r="KO86" s="14"/>
      <c r="KP86" s="14"/>
      <c r="KQ86" s="14"/>
      <c r="KR86" s="14"/>
      <c r="KS86" s="14"/>
      <c r="KT86" s="14"/>
      <c r="KU86" s="14"/>
      <c r="KV86" s="14"/>
      <c r="KW86" s="14"/>
      <c r="KX86" s="14"/>
      <c r="KY86" s="14"/>
      <c r="KZ86" s="14"/>
      <c r="LA86" s="14"/>
      <c r="LB86" s="14"/>
      <c r="LC86" s="14"/>
      <c r="LD86" s="14"/>
      <c r="LE86" s="14"/>
      <c r="LF86" s="14"/>
      <c r="LG86" s="14"/>
      <c r="LH86" s="14"/>
      <c r="LI86" s="14"/>
      <c r="LJ86" s="14"/>
      <c r="LK86" s="14"/>
      <c r="LL86" s="14"/>
      <c r="LM86" s="14"/>
      <c r="LN86" s="14"/>
      <c r="LO86" s="14"/>
      <c r="LP86" s="14"/>
      <c r="LQ86" s="14"/>
      <c r="LR86" s="14"/>
      <c r="LS86" s="14"/>
      <c r="LT86" s="14"/>
      <c r="LU86" s="14"/>
      <c r="LV86" s="14"/>
      <c r="LW86" s="14"/>
      <c r="LX86" s="14"/>
      <c r="LY86" s="14"/>
      <c r="LZ86" s="14"/>
      <c r="MA86" s="14"/>
      <c r="MB86" s="14"/>
      <c r="MC86" s="14"/>
      <c r="MD86" s="14"/>
      <c r="ME86" s="14"/>
      <c r="MF86" s="14"/>
      <c r="MG86" s="14"/>
      <c r="MH86" s="14"/>
      <c r="MI86" s="14"/>
      <c r="MJ86" s="14"/>
      <c r="MK86" s="14"/>
      <c r="ML86" s="14"/>
      <c r="MM86" s="14"/>
      <c r="MN86" s="14"/>
      <c r="MO86" s="14"/>
      <c r="MP86" s="14"/>
      <c r="MQ86" s="14"/>
      <c r="MR86" s="14"/>
      <c r="MS86" s="14"/>
      <c r="MT86" s="14"/>
      <c r="MU86" s="14"/>
      <c r="MV86" s="14"/>
      <c r="MW86" s="14"/>
      <c r="MX86" s="14"/>
      <c r="MY86" s="14"/>
      <c r="MZ86" s="14"/>
      <c r="NA86" s="14"/>
      <c r="NB86" s="14"/>
      <c r="NC86" s="14"/>
      <c r="ND86" s="14"/>
      <c r="NE86" s="14"/>
      <c r="NF86" s="14"/>
      <c r="NG86" s="14"/>
      <c r="NH86" s="14"/>
      <c r="NI86" s="14"/>
      <c r="NJ86" s="14"/>
      <c r="NK86" s="14"/>
      <c r="NL86" s="14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</row>
    <row r="87" ht="13.5" customHeight="1">
      <c r="A87" s="2"/>
      <c r="B87" s="22"/>
      <c r="C87" s="2"/>
      <c r="D87" s="13"/>
      <c r="E87" s="3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14"/>
      <c r="FU87" s="14"/>
      <c r="FV87" s="14"/>
      <c r="FW87" s="14"/>
      <c r="FX87" s="14"/>
      <c r="FY87" s="14"/>
      <c r="FZ87" s="14"/>
      <c r="GA87" s="14"/>
      <c r="GB87" s="14"/>
      <c r="GC87" s="14"/>
      <c r="GD87" s="14"/>
      <c r="GE87" s="14"/>
      <c r="GF87" s="14"/>
      <c r="GG87" s="14"/>
      <c r="GH87" s="14"/>
      <c r="GI87" s="14"/>
      <c r="GJ87" s="14"/>
      <c r="GK87" s="14"/>
      <c r="GL87" s="14"/>
      <c r="GM87" s="14"/>
      <c r="GN87" s="14"/>
      <c r="GO87" s="14"/>
      <c r="GP87" s="14"/>
      <c r="GQ87" s="14"/>
      <c r="GR87" s="14"/>
      <c r="GS87" s="14"/>
      <c r="GT87" s="14"/>
      <c r="GU87" s="14"/>
      <c r="GV87" s="14"/>
      <c r="GW87" s="14"/>
      <c r="GX87" s="14"/>
      <c r="GY87" s="14"/>
      <c r="GZ87" s="14"/>
      <c r="HA87" s="14"/>
      <c r="HB87" s="14"/>
      <c r="HC87" s="14"/>
      <c r="HD87" s="14"/>
      <c r="HE87" s="14"/>
      <c r="HF87" s="14"/>
      <c r="HG87" s="14"/>
      <c r="HH87" s="14"/>
      <c r="HI87" s="14"/>
      <c r="HJ87" s="14"/>
      <c r="HK87" s="14"/>
      <c r="HL87" s="14"/>
      <c r="HM87" s="14"/>
      <c r="HN87" s="14"/>
      <c r="HO87" s="14"/>
      <c r="HP87" s="14"/>
      <c r="HQ87" s="14"/>
      <c r="HR87" s="14"/>
      <c r="HS87" s="14"/>
      <c r="HT87" s="14"/>
      <c r="HU87" s="14"/>
      <c r="HV87" s="14"/>
      <c r="HW87" s="14"/>
      <c r="HX87" s="14"/>
      <c r="HY87" s="14"/>
      <c r="HZ87" s="14"/>
      <c r="IA87" s="14"/>
      <c r="IB87" s="14"/>
      <c r="IC87" s="14"/>
      <c r="ID87" s="14"/>
      <c r="IE87" s="14"/>
      <c r="IF87" s="14"/>
      <c r="IG87" s="14"/>
      <c r="IH87" s="14"/>
      <c r="II87" s="14"/>
      <c r="IJ87" s="14"/>
      <c r="IK87" s="14"/>
      <c r="IL87" s="14"/>
      <c r="IM87" s="14"/>
      <c r="IN87" s="14"/>
      <c r="IO87" s="14"/>
      <c r="IP87" s="14"/>
      <c r="IQ87" s="14"/>
      <c r="IR87" s="14"/>
      <c r="IS87" s="14"/>
      <c r="IT87" s="14"/>
      <c r="IU87" s="14"/>
      <c r="IV87" s="14"/>
      <c r="IW87" s="14"/>
      <c r="IX87" s="14"/>
      <c r="IY87" s="14"/>
      <c r="IZ87" s="14"/>
      <c r="JA87" s="14"/>
      <c r="JB87" s="14"/>
      <c r="JC87" s="14"/>
      <c r="JD87" s="14"/>
      <c r="JE87" s="14"/>
      <c r="JF87" s="14"/>
      <c r="JG87" s="14"/>
      <c r="JH87" s="14"/>
      <c r="JI87" s="14"/>
      <c r="JJ87" s="14"/>
      <c r="JK87" s="14"/>
      <c r="JL87" s="14"/>
      <c r="JM87" s="14"/>
      <c r="JN87" s="14"/>
      <c r="JO87" s="14"/>
      <c r="JP87" s="14"/>
      <c r="JQ87" s="14"/>
      <c r="JR87" s="14"/>
      <c r="JS87" s="14"/>
      <c r="JT87" s="14"/>
      <c r="JU87" s="14"/>
      <c r="JV87" s="14"/>
      <c r="JW87" s="14"/>
      <c r="JX87" s="14"/>
      <c r="JY87" s="14"/>
      <c r="JZ87" s="14"/>
      <c r="KA87" s="14"/>
      <c r="KB87" s="14"/>
      <c r="KC87" s="14"/>
      <c r="KD87" s="14"/>
      <c r="KE87" s="14"/>
      <c r="KF87" s="14"/>
      <c r="KG87" s="14"/>
      <c r="KH87" s="14"/>
      <c r="KI87" s="14"/>
      <c r="KJ87" s="14"/>
      <c r="KK87" s="14"/>
      <c r="KL87" s="14"/>
      <c r="KM87" s="14"/>
      <c r="KN87" s="14"/>
      <c r="KO87" s="14"/>
      <c r="KP87" s="14"/>
      <c r="KQ87" s="14"/>
      <c r="KR87" s="14"/>
      <c r="KS87" s="14"/>
      <c r="KT87" s="14"/>
      <c r="KU87" s="14"/>
      <c r="KV87" s="14"/>
      <c r="KW87" s="14"/>
      <c r="KX87" s="14"/>
      <c r="KY87" s="14"/>
      <c r="KZ87" s="14"/>
      <c r="LA87" s="14"/>
      <c r="LB87" s="14"/>
      <c r="LC87" s="14"/>
      <c r="LD87" s="14"/>
      <c r="LE87" s="14"/>
      <c r="LF87" s="14"/>
      <c r="LG87" s="14"/>
      <c r="LH87" s="14"/>
      <c r="LI87" s="14"/>
      <c r="LJ87" s="14"/>
      <c r="LK87" s="14"/>
      <c r="LL87" s="14"/>
      <c r="LM87" s="14"/>
      <c r="LN87" s="14"/>
      <c r="LO87" s="14"/>
      <c r="LP87" s="14"/>
      <c r="LQ87" s="14"/>
      <c r="LR87" s="14"/>
      <c r="LS87" s="14"/>
      <c r="LT87" s="14"/>
      <c r="LU87" s="14"/>
      <c r="LV87" s="14"/>
      <c r="LW87" s="14"/>
      <c r="LX87" s="14"/>
      <c r="LY87" s="14"/>
      <c r="LZ87" s="14"/>
      <c r="MA87" s="14"/>
      <c r="MB87" s="14"/>
      <c r="MC87" s="14"/>
      <c r="MD87" s="14"/>
      <c r="ME87" s="14"/>
      <c r="MF87" s="14"/>
      <c r="MG87" s="14"/>
      <c r="MH87" s="14"/>
      <c r="MI87" s="14"/>
      <c r="MJ87" s="14"/>
      <c r="MK87" s="14"/>
      <c r="ML87" s="14"/>
      <c r="MM87" s="14"/>
      <c r="MN87" s="14"/>
      <c r="MO87" s="14"/>
      <c r="MP87" s="14"/>
      <c r="MQ87" s="14"/>
      <c r="MR87" s="14"/>
      <c r="MS87" s="14"/>
      <c r="MT87" s="14"/>
      <c r="MU87" s="14"/>
      <c r="MV87" s="14"/>
      <c r="MW87" s="14"/>
      <c r="MX87" s="14"/>
      <c r="MY87" s="14"/>
      <c r="MZ87" s="14"/>
      <c r="NA87" s="14"/>
      <c r="NB87" s="14"/>
      <c r="NC87" s="14"/>
      <c r="ND87" s="14"/>
      <c r="NE87" s="14"/>
      <c r="NF87" s="14"/>
      <c r="NG87" s="14"/>
      <c r="NH87" s="14"/>
      <c r="NI87" s="14"/>
      <c r="NJ87" s="14"/>
      <c r="NK87" s="14"/>
      <c r="NL87" s="14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</row>
    <row r="88" ht="13.5" customHeight="1">
      <c r="A88" s="2"/>
      <c r="B88" s="22"/>
      <c r="C88" s="2"/>
      <c r="D88" s="13"/>
      <c r="E88" s="3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4"/>
      <c r="FJ88" s="14"/>
      <c r="FK88" s="14"/>
      <c r="FL88" s="14"/>
      <c r="FM88" s="14"/>
      <c r="FN88" s="14"/>
      <c r="FO88" s="14"/>
      <c r="FP88" s="14"/>
      <c r="FQ88" s="14"/>
      <c r="FR88" s="14"/>
      <c r="FS88" s="14"/>
      <c r="FT88" s="14"/>
      <c r="FU88" s="14"/>
      <c r="FV88" s="14"/>
      <c r="FW88" s="14"/>
      <c r="FX88" s="14"/>
      <c r="FY88" s="14"/>
      <c r="FZ88" s="14"/>
      <c r="GA88" s="14"/>
      <c r="GB88" s="14"/>
      <c r="GC88" s="14"/>
      <c r="GD88" s="14"/>
      <c r="GE88" s="14"/>
      <c r="GF88" s="14"/>
      <c r="GG88" s="14"/>
      <c r="GH88" s="14"/>
      <c r="GI88" s="14"/>
      <c r="GJ88" s="14"/>
      <c r="GK88" s="14"/>
      <c r="GL88" s="14"/>
      <c r="GM88" s="14"/>
      <c r="GN88" s="14"/>
      <c r="GO88" s="14"/>
      <c r="GP88" s="14"/>
      <c r="GQ88" s="14"/>
      <c r="GR88" s="14"/>
      <c r="GS88" s="14"/>
      <c r="GT88" s="14"/>
      <c r="GU88" s="14"/>
      <c r="GV88" s="14"/>
      <c r="GW88" s="14"/>
      <c r="GX88" s="14"/>
      <c r="GY88" s="14"/>
      <c r="GZ88" s="14"/>
      <c r="HA88" s="14"/>
      <c r="HB88" s="14"/>
      <c r="HC88" s="14"/>
      <c r="HD88" s="14"/>
      <c r="HE88" s="14"/>
      <c r="HF88" s="14"/>
      <c r="HG88" s="14"/>
      <c r="HH88" s="14"/>
      <c r="HI88" s="14"/>
      <c r="HJ88" s="14"/>
      <c r="HK88" s="14"/>
      <c r="HL88" s="14"/>
      <c r="HM88" s="14"/>
      <c r="HN88" s="14"/>
      <c r="HO88" s="14"/>
      <c r="HP88" s="14"/>
      <c r="HQ88" s="14"/>
      <c r="HR88" s="14"/>
      <c r="HS88" s="14"/>
      <c r="HT88" s="14"/>
      <c r="HU88" s="14"/>
      <c r="HV88" s="14"/>
      <c r="HW88" s="14"/>
      <c r="HX88" s="14"/>
      <c r="HY88" s="14"/>
      <c r="HZ88" s="14"/>
      <c r="IA88" s="14"/>
      <c r="IB88" s="14"/>
      <c r="IC88" s="14"/>
      <c r="ID88" s="14"/>
      <c r="IE88" s="14"/>
      <c r="IF88" s="14"/>
      <c r="IG88" s="14"/>
      <c r="IH88" s="14"/>
      <c r="II88" s="14"/>
      <c r="IJ88" s="14"/>
      <c r="IK88" s="14"/>
      <c r="IL88" s="14"/>
      <c r="IM88" s="14"/>
      <c r="IN88" s="14"/>
      <c r="IO88" s="14"/>
      <c r="IP88" s="14"/>
      <c r="IQ88" s="14"/>
      <c r="IR88" s="14"/>
      <c r="IS88" s="14"/>
      <c r="IT88" s="14"/>
      <c r="IU88" s="14"/>
      <c r="IV88" s="14"/>
      <c r="IW88" s="14"/>
      <c r="IX88" s="14"/>
      <c r="IY88" s="14"/>
      <c r="IZ88" s="14"/>
      <c r="JA88" s="14"/>
      <c r="JB88" s="14"/>
      <c r="JC88" s="14"/>
      <c r="JD88" s="14"/>
      <c r="JE88" s="14"/>
      <c r="JF88" s="14"/>
      <c r="JG88" s="14"/>
      <c r="JH88" s="14"/>
      <c r="JI88" s="14"/>
      <c r="JJ88" s="14"/>
      <c r="JK88" s="14"/>
      <c r="JL88" s="14"/>
      <c r="JM88" s="14"/>
      <c r="JN88" s="14"/>
      <c r="JO88" s="14"/>
      <c r="JP88" s="14"/>
      <c r="JQ88" s="14"/>
      <c r="JR88" s="14"/>
      <c r="JS88" s="14"/>
      <c r="JT88" s="14"/>
      <c r="JU88" s="14"/>
      <c r="JV88" s="14"/>
      <c r="JW88" s="14"/>
      <c r="JX88" s="14"/>
      <c r="JY88" s="14"/>
      <c r="JZ88" s="14"/>
      <c r="KA88" s="14"/>
      <c r="KB88" s="14"/>
      <c r="KC88" s="14"/>
      <c r="KD88" s="14"/>
      <c r="KE88" s="14"/>
      <c r="KF88" s="14"/>
      <c r="KG88" s="14"/>
      <c r="KH88" s="14"/>
      <c r="KI88" s="14"/>
      <c r="KJ88" s="14"/>
      <c r="KK88" s="14"/>
      <c r="KL88" s="14"/>
      <c r="KM88" s="14"/>
      <c r="KN88" s="14"/>
      <c r="KO88" s="14"/>
      <c r="KP88" s="14"/>
      <c r="KQ88" s="14"/>
      <c r="KR88" s="14"/>
      <c r="KS88" s="14"/>
      <c r="KT88" s="14"/>
      <c r="KU88" s="14"/>
      <c r="KV88" s="14"/>
      <c r="KW88" s="14"/>
      <c r="KX88" s="14"/>
      <c r="KY88" s="14"/>
      <c r="KZ88" s="14"/>
      <c r="LA88" s="14"/>
      <c r="LB88" s="14"/>
      <c r="LC88" s="14"/>
      <c r="LD88" s="14"/>
      <c r="LE88" s="14"/>
      <c r="LF88" s="14"/>
      <c r="LG88" s="14"/>
      <c r="LH88" s="14"/>
      <c r="LI88" s="14"/>
      <c r="LJ88" s="14"/>
      <c r="LK88" s="14"/>
      <c r="LL88" s="14"/>
      <c r="LM88" s="14"/>
      <c r="LN88" s="14"/>
      <c r="LO88" s="14"/>
      <c r="LP88" s="14"/>
      <c r="LQ88" s="14"/>
      <c r="LR88" s="14"/>
      <c r="LS88" s="14"/>
      <c r="LT88" s="14"/>
      <c r="LU88" s="14"/>
      <c r="LV88" s="14"/>
      <c r="LW88" s="14"/>
      <c r="LX88" s="14"/>
      <c r="LY88" s="14"/>
      <c r="LZ88" s="14"/>
      <c r="MA88" s="14"/>
      <c r="MB88" s="14"/>
      <c r="MC88" s="14"/>
      <c r="MD88" s="14"/>
      <c r="ME88" s="14"/>
      <c r="MF88" s="14"/>
      <c r="MG88" s="14"/>
      <c r="MH88" s="14"/>
      <c r="MI88" s="14"/>
      <c r="MJ88" s="14"/>
      <c r="MK88" s="14"/>
      <c r="ML88" s="14"/>
      <c r="MM88" s="14"/>
      <c r="MN88" s="14"/>
      <c r="MO88" s="14"/>
      <c r="MP88" s="14"/>
      <c r="MQ88" s="14"/>
      <c r="MR88" s="14"/>
      <c r="MS88" s="14"/>
      <c r="MT88" s="14"/>
      <c r="MU88" s="14"/>
      <c r="MV88" s="14"/>
      <c r="MW88" s="14"/>
      <c r="MX88" s="14"/>
      <c r="MY88" s="14"/>
      <c r="MZ88" s="14"/>
      <c r="NA88" s="14"/>
      <c r="NB88" s="14"/>
      <c r="NC88" s="14"/>
      <c r="ND88" s="14"/>
      <c r="NE88" s="14"/>
      <c r="NF88" s="14"/>
      <c r="NG88" s="14"/>
      <c r="NH88" s="14"/>
      <c r="NI88" s="14"/>
      <c r="NJ88" s="14"/>
      <c r="NK88" s="14"/>
      <c r="NL88" s="14"/>
      <c r="NM88" s="3"/>
      <c r="NN88" s="3"/>
      <c r="NO88" s="3"/>
      <c r="NP88" s="3"/>
      <c r="NQ88" s="3"/>
      <c r="NR88" s="3"/>
      <c r="NS88" s="3"/>
      <c r="NT88" s="3"/>
      <c r="NU88" s="3"/>
      <c r="NV88" s="3"/>
      <c r="NW88" s="3"/>
      <c r="NX88" s="3"/>
      <c r="NY88" s="3"/>
      <c r="NZ88" s="3"/>
      <c r="OA88" s="3"/>
      <c r="OB88" s="3"/>
      <c r="OC88" s="3"/>
      <c r="OD88" s="3"/>
      <c r="OE88" s="3"/>
      <c r="OF88" s="3"/>
    </row>
    <row r="89" ht="13.5" customHeight="1">
      <c r="A89" s="2"/>
      <c r="B89" s="22"/>
      <c r="C89" s="2"/>
      <c r="D89" s="13"/>
      <c r="E89" s="3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/>
      <c r="FT89" s="14"/>
      <c r="FU89" s="14"/>
      <c r="FV89" s="14"/>
      <c r="FW89" s="14"/>
      <c r="FX89" s="14"/>
      <c r="FY89" s="14"/>
      <c r="FZ89" s="14"/>
      <c r="GA89" s="14"/>
      <c r="GB89" s="14"/>
      <c r="GC89" s="14"/>
      <c r="GD89" s="14"/>
      <c r="GE89" s="14"/>
      <c r="GF89" s="14"/>
      <c r="GG89" s="14"/>
      <c r="GH89" s="14"/>
      <c r="GI89" s="14"/>
      <c r="GJ89" s="14"/>
      <c r="GK89" s="14"/>
      <c r="GL89" s="14"/>
      <c r="GM89" s="14"/>
      <c r="GN89" s="14"/>
      <c r="GO89" s="14"/>
      <c r="GP89" s="14"/>
      <c r="GQ89" s="14"/>
      <c r="GR89" s="14"/>
      <c r="GS89" s="14"/>
      <c r="GT89" s="14"/>
      <c r="GU89" s="14"/>
      <c r="GV89" s="14"/>
      <c r="GW89" s="14"/>
      <c r="GX89" s="14"/>
      <c r="GY89" s="14"/>
      <c r="GZ89" s="14"/>
      <c r="HA89" s="14"/>
      <c r="HB89" s="14"/>
      <c r="HC89" s="14"/>
      <c r="HD89" s="14"/>
      <c r="HE89" s="14"/>
      <c r="HF89" s="14"/>
      <c r="HG89" s="14"/>
      <c r="HH89" s="14"/>
      <c r="HI89" s="14"/>
      <c r="HJ89" s="14"/>
      <c r="HK89" s="14"/>
      <c r="HL89" s="14"/>
      <c r="HM89" s="14"/>
      <c r="HN89" s="14"/>
      <c r="HO89" s="14"/>
      <c r="HP89" s="14"/>
      <c r="HQ89" s="14"/>
      <c r="HR89" s="14"/>
      <c r="HS89" s="14"/>
      <c r="HT89" s="14"/>
      <c r="HU89" s="14"/>
      <c r="HV89" s="14"/>
      <c r="HW89" s="14"/>
      <c r="HX89" s="14"/>
      <c r="HY89" s="14"/>
      <c r="HZ89" s="14"/>
      <c r="IA89" s="14"/>
      <c r="IB89" s="14"/>
      <c r="IC89" s="14"/>
      <c r="ID89" s="14"/>
      <c r="IE89" s="14"/>
      <c r="IF89" s="14"/>
      <c r="IG89" s="14"/>
      <c r="IH89" s="14"/>
      <c r="II89" s="14"/>
      <c r="IJ89" s="14"/>
      <c r="IK89" s="14"/>
      <c r="IL89" s="14"/>
      <c r="IM89" s="14"/>
      <c r="IN89" s="14"/>
      <c r="IO89" s="14"/>
      <c r="IP89" s="14"/>
      <c r="IQ89" s="14"/>
      <c r="IR89" s="14"/>
      <c r="IS89" s="14"/>
      <c r="IT89" s="14"/>
      <c r="IU89" s="14"/>
      <c r="IV89" s="14"/>
      <c r="IW89" s="14"/>
      <c r="IX89" s="14"/>
      <c r="IY89" s="14"/>
      <c r="IZ89" s="14"/>
      <c r="JA89" s="14"/>
      <c r="JB89" s="14"/>
      <c r="JC89" s="14"/>
      <c r="JD89" s="14"/>
      <c r="JE89" s="14"/>
      <c r="JF89" s="14"/>
      <c r="JG89" s="14"/>
      <c r="JH89" s="14"/>
      <c r="JI89" s="14"/>
      <c r="JJ89" s="14"/>
      <c r="JK89" s="14"/>
      <c r="JL89" s="14"/>
      <c r="JM89" s="14"/>
      <c r="JN89" s="14"/>
      <c r="JO89" s="14"/>
      <c r="JP89" s="14"/>
      <c r="JQ89" s="14"/>
      <c r="JR89" s="14"/>
      <c r="JS89" s="14"/>
      <c r="JT89" s="14"/>
      <c r="JU89" s="14"/>
      <c r="JV89" s="14"/>
      <c r="JW89" s="14"/>
      <c r="JX89" s="14"/>
      <c r="JY89" s="14"/>
      <c r="JZ89" s="14"/>
      <c r="KA89" s="14"/>
      <c r="KB89" s="14"/>
      <c r="KC89" s="14"/>
      <c r="KD89" s="14"/>
      <c r="KE89" s="14"/>
      <c r="KF89" s="14"/>
      <c r="KG89" s="14"/>
      <c r="KH89" s="14"/>
      <c r="KI89" s="14"/>
      <c r="KJ89" s="14"/>
      <c r="KK89" s="14"/>
      <c r="KL89" s="14"/>
      <c r="KM89" s="14"/>
      <c r="KN89" s="14"/>
      <c r="KO89" s="14"/>
      <c r="KP89" s="14"/>
      <c r="KQ89" s="14"/>
      <c r="KR89" s="14"/>
      <c r="KS89" s="14"/>
      <c r="KT89" s="14"/>
      <c r="KU89" s="14"/>
      <c r="KV89" s="14"/>
      <c r="KW89" s="14"/>
      <c r="KX89" s="14"/>
      <c r="KY89" s="14"/>
      <c r="KZ89" s="14"/>
      <c r="LA89" s="14"/>
      <c r="LB89" s="14"/>
      <c r="LC89" s="14"/>
      <c r="LD89" s="14"/>
      <c r="LE89" s="14"/>
      <c r="LF89" s="14"/>
      <c r="LG89" s="14"/>
      <c r="LH89" s="14"/>
      <c r="LI89" s="14"/>
      <c r="LJ89" s="14"/>
      <c r="LK89" s="14"/>
      <c r="LL89" s="14"/>
      <c r="LM89" s="14"/>
      <c r="LN89" s="14"/>
      <c r="LO89" s="14"/>
      <c r="LP89" s="14"/>
      <c r="LQ89" s="14"/>
      <c r="LR89" s="14"/>
      <c r="LS89" s="14"/>
      <c r="LT89" s="14"/>
      <c r="LU89" s="14"/>
      <c r="LV89" s="14"/>
      <c r="LW89" s="14"/>
      <c r="LX89" s="14"/>
      <c r="LY89" s="14"/>
      <c r="LZ89" s="14"/>
      <c r="MA89" s="14"/>
      <c r="MB89" s="14"/>
      <c r="MC89" s="14"/>
      <c r="MD89" s="14"/>
      <c r="ME89" s="14"/>
      <c r="MF89" s="14"/>
      <c r="MG89" s="14"/>
      <c r="MH89" s="14"/>
      <c r="MI89" s="14"/>
      <c r="MJ89" s="14"/>
      <c r="MK89" s="14"/>
      <c r="ML89" s="14"/>
      <c r="MM89" s="14"/>
      <c r="MN89" s="14"/>
      <c r="MO89" s="14"/>
      <c r="MP89" s="14"/>
      <c r="MQ89" s="14"/>
      <c r="MR89" s="14"/>
      <c r="MS89" s="14"/>
      <c r="MT89" s="14"/>
      <c r="MU89" s="14"/>
      <c r="MV89" s="14"/>
      <c r="MW89" s="14"/>
      <c r="MX89" s="14"/>
      <c r="MY89" s="14"/>
      <c r="MZ89" s="14"/>
      <c r="NA89" s="14"/>
      <c r="NB89" s="14"/>
      <c r="NC89" s="14"/>
      <c r="ND89" s="14"/>
      <c r="NE89" s="14"/>
      <c r="NF89" s="14"/>
      <c r="NG89" s="14"/>
      <c r="NH89" s="14"/>
      <c r="NI89" s="14"/>
      <c r="NJ89" s="14"/>
      <c r="NK89" s="14"/>
      <c r="NL89" s="14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</row>
    <row r="90" ht="13.5" customHeight="1">
      <c r="A90" s="2"/>
      <c r="B90" s="22"/>
      <c r="C90" s="2"/>
      <c r="D90" s="13"/>
      <c r="E90" s="3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4"/>
      <c r="FK90" s="14"/>
      <c r="FL90" s="14"/>
      <c r="FM90" s="14"/>
      <c r="FN90" s="14"/>
      <c r="FO90" s="14"/>
      <c r="FP90" s="14"/>
      <c r="FQ90" s="14"/>
      <c r="FR90" s="14"/>
      <c r="FS90" s="14"/>
      <c r="FT90" s="14"/>
      <c r="FU90" s="14"/>
      <c r="FV90" s="14"/>
      <c r="FW90" s="14"/>
      <c r="FX90" s="14"/>
      <c r="FY90" s="14"/>
      <c r="FZ90" s="14"/>
      <c r="GA90" s="14"/>
      <c r="GB90" s="14"/>
      <c r="GC90" s="14"/>
      <c r="GD90" s="14"/>
      <c r="GE90" s="14"/>
      <c r="GF90" s="14"/>
      <c r="GG90" s="14"/>
      <c r="GH90" s="14"/>
      <c r="GI90" s="14"/>
      <c r="GJ90" s="14"/>
      <c r="GK90" s="14"/>
      <c r="GL90" s="14"/>
      <c r="GM90" s="14"/>
      <c r="GN90" s="14"/>
      <c r="GO90" s="14"/>
      <c r="GP90" s="14"/>
      <c r="GQ90" s="14"/>
      <c r="GR90" s="14"/>
      <c r="GS90" s="14"/>
      <c r="GT90" s="14"/>
      <c r="GU90" s="14"/>
      <c r="GV90" s="14"/>
      <c r="GW90" s="14"/>
      <c r="GX90" s="14"/>
      <c r="GY90" s="14"/>
      <c r="GZ90" s="14"/>
      <c r="HA90" s="14"/>
      <c r="HB90" s="14"/>
      <c r="HC90" s="14"/>
      <c r="HD90" s="14"/>
      <c r="HE90" s="14"/>
      <c r="HF90" s="14"/>
      <c r="HG90" s="14"/>
      <c r="HH90" s="14"/>
      <c r="HI90" s="14"/>
      <c r="HJ90" s="14"/>
      <c r="HK90" s="14"/>
      <c r="HL90" s="14"/>
      <c r="HM90" s="14"/>
      <c r="HN90" s="14"/>
      <c r="HO90" s="14"/>
      <c r="HP90" s="14"/>
      <c r="HQ90" s="14"/>
      <c r="HR90" s="14"/>
      <c r="HS90" s="14"/>
      <c r="HT90" s="14"/>
      <c r="HU90" s="14"/>
      <c r="HV90" s="14"/>
      <c r="HW90" s="14"/>
      <c r="HX90" s="14"/>
      <c r="HY90" s="14"/>
      <c r="HZ90" s="14"/>
      <c r="IA90" s="14"/>
      <c r="IB90" s="14"/>
      <c r="IC90" s="14"/>
      <c r="ID90" s="14"/>
      <c r="IE90" s="14"/>
      <c r="IF90" s="14"/>
      <c r="IG90" s="14"/>
      <c r="IH90" s="14"/>
      <c r="II90" s="14"/>
      <c r="IJ90" s="14"/>
      <c r="IK90" s="14"/>
      <c r="IL90" s="14"/>
      <c r="IM90" s="14"/>
      <c r="IN90" s="14"/>
      <c r="IO90" s="14"/>
      <c r="IP90" s="14"/>
      <c r="IQ90" s="14"/>
      <c r="IR90" s="14"/>
      <c r="IS90" s="14"/>
      <c r="IT90" s="14"/>
      <c r="IU90" s="14"/>
      <c r="IV90" s="14"/>
      <c r="IW90" s="14"/>
      <c r="IX90" s="14"/>
      <c r="IY90" s="14"/>
      <c r="IZ90" s="14"/>
      <c r="JA90" s="14"/>
      <c r="JB90" s="14"/>
      <c r="JC90" s="14"/>
      <c r="JD90" s="14"/>
      <c r="JE90" s="14"/>
      <c r="JF90" s="14"/>
      <c r="JG90" s="14"/>
      <c r="JH90" s="14"/>
      <c r="JI90" s="14"/>
      <c r="JJ90" s="14"/>
      <c r="JK90" s="14"/>
      <c r="JL90" s="14"/>
      <c r="JM90" s="14"/>
      <c r="JN90" s="14"/>
      <c r="JO90" s="14"/>
      <c r="JP90" s="14"/>
      <c r="JQ90" s="14"/>
      <c r="JR90" s="14"/>
      <c r="JS90" s="14"/>
      <c r="JT90" s="14"/>
      <c r="JU90" s="14"/>
      <c r="JV90" s="14"/>
      <c r="JW90" s="14"/>
      <c r="JX90" s="14"/>
      <c r="JY90" s="14"/>
      <c r="JZ90" s="14"/>
      <c r="KA90" s="14"/>
      <c r="KB90" s="14"/>
      <c r="KC90" s="14"/>
      <c r="KD90" s="14"/>
      <c r="KE90" s="14"/>
      <c r="KF90" s="14"/>
      <c r="KG90" s="14"/>
      <c r="KH90" s="14"/>
      <c r="KI90" s="14"/>
      <c r="KJ90" s="14"/>
      <c r="KK90" s="14"/>
      <c r="KL90" s="14"/>
      <c r="KM90" s="14"/>
      <c r="KN90" s="14"/>
      <c r="KO90" s="14"/>
      <c r="KP90" s="14"/>
      <c r="KQ90" s="14"/>
      <c r="KR90" s="14"/>
      <c r="KS90" s="14"/>
      <c r="KT90" s="14"/>
      <c r="KU90" s="14"/>
      <c r="KV90" s="14"/>
      <c r="KW90" s="14"/>
      <c r="KX90" s="14"/>
      <c r="KY90" s="14"/>
      <c r="KZ90" s="14"/>
      <c r="LA90" s="14"/>
      <c r="LB90" s="14"/>
      <c r="LC90" s="14"/>
      <c r="LD90" s="14"/>
      <c r="LE90" s="14"/>
      <c r="LF90" s="14"/>
      <c r="LG90" s="14"/>
      <c r="LH90" s="14"/>
      <c r="LI90" s="14"/>
      <c r="LJ90" s="14"/>
      <c r="LK90" s="14"/>
      <c r="LL90" s="14"/>
      <c r="LM90" s="14"/>
      <c r="LN90" s="14"/>
      <c r="LO90" s="14"/>
      <c r="LP90" s="14"/>
      <c r="LQ90" s="14"/>
      <c r="LR90" s="14"/>
      <c r="LS90" s="14"/>
      <c r="LT90" s="14"/>
      <c r="LU90" s="14"/>
      <c r="LV90" s="14"/>
      <c r="LW90" s="14"/>
      <c r="LX90" s="14"/>
      <c r="LY90" s="14"/>
      <c r="LZ90" s="14"/>
      <c r="MA90" s="14"/>
      <c r="MB90" s="14"/>
      <c r="MC90" s="14"/>
      <c r="MD90" s="14"/>
      <c r="ME90" s="14"/>
      <c r="MF90" s="14"/>
      <c r="MG90" s="14"/>
      <c r="MH90" s="14"/>
      <c r="MI90" s="14"/>
      <c r="MJ90" s="14"/>
      <c r="MK90" s="14"/>
      <c r="ML90" s="14"/>
      <c r="MM90" s="14"/>
      <c r="MN90" s="14"/>
      <c r="MO90" s="14"/>
      <c r="MP90" s="14"/>
      <c r="MQ90" s="14"/>
      <c r="MR90" s="14"/>
      <c r="MS90" s="14"/>
      <c r="MT90" s="14"/>
      <c r="MU90" s="14"/>
      <c r="MV90" s="14"/>
      <c r="MW90" s="14"/>
      <c r="MX90" s="14"/>
      <c r="MY90" s="14"/>
      <c r="MZ90" s="14"/>
      <c r="NA90" s="14"/>
      <c r="NB90" s="14"/>
      <c r="NC90" s="14"/>
      <c r="ND90" s="14"/>
      <c r="NE90" s="14"/>
      <c r="NF90" s="14"/>
      <c r="NG90" s="14"/>
      <c r="NH90" s="14"/>
      <c r="NI90" s="14"/>
      <c r="NJ90" s="14"/>
      <c r="NK90" s="14"/>
      <c r="NL90" s="14"/>
      <c r="NM90" s="3"/>
      <c r="NN90" s="3"/>
      <c r="NO90" s="3"/>
      <c r="NP90" s="3"/>
      <c r="NQ90" s="3"/>
      <c r="NR90" s="3"/>
      <c r="NS90" s="3"/>
      <c r="NT90" s="3"/>
      <c r="NU90" s="3"/>
      <c r="NV90" s="3"/>
      <c r="NW90" s="3"/>
      <c r="NX90" s="3"/>
      <c r="NY90" s="3"/>
      <c r="NZ90" s="3"/>
      <c r="OA90" s="3"/>
      <c r="OB90" s="3"/>
      <c r="OC90" s="3"/>
      <c r="OD90" s="3"/>
      <c r="OE90" s="3"/>
      <c r="OF90" s="3"/>
    </row>
    <row r="91" ht="13.5" customHeight="1">
      <c r="A91" s="2"/>
      <c r="B91" s="22"/>
      <c r="C91" s="2"/>
      <c r="D91" s="13"/>
      <c r="E91" s="3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14"/>
      <c r="EK91" s="14"/>
      <c r="EL91" s="14"/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4"/>
      <c r="FJ91" s="14"/>
      <c r="FK91" s="14"/>
      <c r="FL91" s="14"/>
      <c r="FM91" s="14"/>
      <c r="FN91" s="14"/>
      <c r="FO91" s="14"/>
      <c r="FP91" s="14"/>
      <c r="FQ91" s="14"/>
      <c r="FR91" s="14"/>
      <c r="FS91" s="14"/>
      <c r="FT91" s="14"/>
      <c r="FU91" s="14"/>
      <c r="FV91" s="14"/>
      <c r="FW91" s="14"/>
      <c r="FX91" s="14"/>
      <c r="FY91" s="14"/>
      <c r="FZ91" s="14"/>
      <c r="GA91" s="14"/>
      <c r="GB91" s="14"/>
      <c r="GC91" s="14"/>
      <c r="GD91" s="14"/>
      <c r="GE91" s="14"/>
      <c r="GF91" s="14"/>
      <c r="GG91" s="14"/>
      <c r="GH91" s="14"/>
      <c r="GI91" s="14"/>
      <c r="GJ91" s="14"/>
      <c r="GK91" s="14"/>
      <c r="GL91" s="14"/>
      <c r="GM91" s="14"/>
      <c r="GN91" s="14"/>
      <c r="GO91" s="14"/>
      <c r="GP91" s="14"/>
      <c r="GQ91" s="14"/>
      <c r="GR91" s="14"/>
      <c r="GS91" s="14"/>
      <c r="GT91" s="14"/>
      <c r="GU91" s="14"/>
      <c r="GV91" s="14"/>
      <c r="GW91" s="14"/>
      <c r="GX91" s="14"/>
      <c r="GY91" s="14"/>
      <c r="GZ91" s="14"/>
      <c r="HA91" s="14"/>
      <c r="HB91" s="14"/>
      <c r="HC91" s="14"/>
      <c r="HD91" s="14"/>
      <c r="HE91" s="14"/>
      <c r="HF91" s="14"/>
      <c r="HG91" s="14"/>
      <c r="HH91" s="14"/>
      <c r="HI91" s="14"/>
      <c r="HJ91" s="14"/>
      <c r="HK91" s="14"/>
      <c r="HL91" s="14"/>
      <c r="HM91" s="14"/>
      <c r="HN91" s="14"/>
      <c r="HO91" s="14"/>
      <c r="HP91" s="14"/>
      <c r="HQ91" s="14"/>
      <c r="HR91" s="14"/>
      <c r="HS91" s="14"/>
      <c r="HT91" s="14"/>
      <c r="HU91" s="14"/>
      <c r="HV91" s="14"/>
      <c r="HW91" s="14"/>
      <c r="HX91" s="14"/>
      <c r="HY91" s="14"/>
      <c r="HZ91" s="14"/>
      <c r="IA91" s="14"/>
      <c r="IB91" s="14"/>
      <c r="IC91" s="14"/>
      <c r="ID91" s="14"/>
      <c r="IE91" s="14"/>
      <c r="IF91" s="14"/>
      <c r="IG91" s="14"/>
      <c r="IH91" s="14"/>
      <c r="II91" s="14"/>
      <c r="IJ91" s="14"/>
      <c r="IK91" s="14"/>
      <c r="IL91" s="14"/>
      <c r="IM91" s="14"/>
      <c r="IN91" s="14"/>
      <c r="IO91" s="14"/>
      <c r="IP91" s="14"/>
      <c r="IQ91" s="14"/>
      <c r="IR91" s="14"/>
      <c r="IS91" s="14"/>
      <c r="IT91" s="14"/>
      <c r="IU91" s="14"/>
      <c r="IV91" s="14"/>
      <c r="IW91" s="14"/>
      <c r="IX91" s="14"/>
      <c r="IY91" s="14"/>
      <c r="IZ91" s="14"/>
      <c r="JA91" s="14"/>
      <c r="JB91" s="14"/>
      <c r="JC91" s="14"/>
      <c r="JD91" s="14"/>
      <c r="JE91" s="14"/>
      <c r="JF91" s="14"/>
      <c r="JG91" s="14"/>
      <c r="JH91" s="14"/>
      <c r="JI91" s="14"/>
      <c r="JJ91" s="14"/>
      <c r="JK91" s="14"/>
      <c r="JL91" s="14"/>
      <c r="JM91" s="14"/>
      <c r="JN91" s="14"/>
      <c r="JO91" s="14"/>
      <c r="JP91" s="14"/>
      <c r="JQ91" s="14"/>
      <c r="JR91" s="14"/>
      <c r="JS91" s="14"/>
      <c r="JT91" s="14"/>
      <c r="JU91" s="14"/>
      <c r="JV91" s="14"/>
      <c r="JW91" s="14"/>
      <c r="JX91" s="14"/>
      <c r="JY91" s="14"/>
      <c r="JZ91" s="14"/>
      <c r="KA91" s="14"/>
      <c r="KB91" s="14"/>
      <c r="KC91" s="14"/>
      <c r="KD91" s="14"/>
      <c r="KE91" s="14"/>
      <c r="KF91" s="14"/>
      <c r="KG91" s="14"/>
      <c r="KH91" s="14"/>
      <c r="KI91" s="14"/>
      <c r="KJ91" s="14"/>
      <c r="KK91" s="14"/>
      <c r="KL91" s="14"/>
      <c r="KM91" s="14"/>
      <c r="KN91" s="14"/>
      <c r="KO91" s="14"/>
      <c r="KP91" s="14"/>
      <c r="KQ91" s="14"/>
      <c r="KR91" s="14"/>
      <c r="KS91" s="14"/>
      <c r="KT91" s="14"/>
      <c r="KU91" s="14"/>
      <c r="KV91" s="14"/>
      <c r="KW91" s="14"/>
      <c r="KX91" s="14"/>
      <c r="KY91" s="14"/>
      <c r="KZ91" s="14"/>
      <c r="LA91" s="14"/>
      <c r="LB91" s="14"/>
      <c r="LC91" s="14"/>
      <c r="LD91" s="14"/>
      <c r="LE91" s="14"/>
      <c r="LF91" s="14"/>
      <c r="LG91" s="14"/>
      <c r="LH91" s="14"/>
      <c r="LI91" s="14"/>
      <c r="LJ91" s="14"/>
      <c r="LK91" s="14"/>
      <c r="LL91" s="14"/>
      <c r="LM91" s="14"/>
      <c r="LN91" s="14"/>
      <c r="LO91" s="14"/>
      <c r="LP91" s="14"/>
      <c r="LQ91" s="14"/>
      <c r="LR91" s="14"/>
      <c r="LS91" s="14"/>
      <c r="LT91" s="14"/>
      <c r="LU91" s="14"/>
      <c r="LV91" s="14"/>
      <c r="LW91" s="14"/>
      <c r="LX91" s="14"/>
      <c r="LY91" s="14"/>
      <c r="LZ91" s="14"/>
      <c r="MA91" s="14"/>
      <c r="MB91" s="14"/>
      <c r="MC91" s="14"/>
      <c r="MD91" s="14"/>
      <c r="ME91" s="14"/>
      <c r="MF91" s="14"/>
      <c r="MG91" s="14"/>
      <c r="MH91" s="14"/>
      <c r="MI91" s="14"/>
      <c r="MJ91" s="14"/>
      <c r="MK91" s="14"/>
      <c r="ML91" s="14"/>
      <c r="MM91" s="14"/>
      <c r="MN91" s="14"/>
      <c r="MO91" s="14"/>
      <c r="MP91" s="14"/>
      <c r="MQ91" s="14"/>
      <c r="MR91" s="14"/>
      <c r="MS91" s="14"/>
      <c r="MT91" s="14"/>
      <c r="MU91" s="14"/>
      <c r="MV91" s="14"/>
      <c r="MW91" s="14"/>
      <c r="MX91" s="14"/>
      <c r="MY91" s="14"/>
      <c r="MZ91" s="14"/>
      <c r="NA91" s="14"/>
      <c r="NB91" s="14"/>
      <c r="NC91" s="14"/>
      <c r="ND91" s="14"/>
      <c r="NE91" s="14"/>
      <c r="NF91" s="14"/>
      <c r="NG91" s="14"/>
      <c r="NH91" s="14"/>
      <c r="NI91" s="14"/>
      <c r="NJ91" s="14"/>
      <c r="NK91" s="14"/>
      <c r="NL91" s="14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</row>
    <row r="92" ht="13.5" customHeight="1">
      <c r="A92" s="2"/>
      <c r="B92" s="22"/>
      <c r="C92" s="2"/>
      <c r="D92" s="13"/>
      <c r="E92" s="3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4"/>
      <c r="EJ92" s="14"/>
      <c r="EK92" s="14"/>
      <c r="EL92" s="14"/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4"/>
      <c r="FJ92" s="14"/>
      <c r="FK92" s="14"/>
      <c r="FL92" s="14"/>
      <c r="FM92" s="14"/>
      <c r="FN92" s="14"/>
      <c r="FO92" s="14"/>
      <c r="FP92" s="14"/>
      <c r="FQ92" s="14"/>
      <c r="FR92" s="14"/>
      <c r="FS92" s="14"/>
      <c r="FT92" s="14"/>
      <c r="FU92" s="14"/>
      <c r="FV92" s="14"/>
      <c r="FW92" s="14"/>
      <c r="FX92" s="14"/>
      <c r="FY92" s="14"/>
      <c r="FZ92" s="14"/>
      <c r="GA92" s="14"/>
      <c r="GB92" s="14"/>
      <c r="GC92" s="14"/>
      <c r="GD92" s="14"/>
      <c r="GE92" s="14"/>
      <c r="GF92" s="14"/>
      <c r="GG92" s="14"/>
      <c r="GH92" s="14"/>
      <c r="GI92" s="14"/>
      <c r="GJ92" s="14"/>
      <c r="GK92" s="14"/>
      <c r="GL92" s="14"/>
      <c r="GM92" s="14"/>
      <c r="GN92" s="14"/>
      <c r="GO92" s="14"/>
      <c r="GP92" s="14"/>
      <c r="GQ92" s="14"/>
      <c r="GR92" s="14"/>
      <c r="GS92" s="14"/>
      <c r="GT92" s="14"/>
      <c r="GU92" s="14"/>
      <c r="GV92" s="14"/>
      <c r="GW92" s="14"/>
      <c r="GX92" s="14"/>
      <c r="GY92" s="14"/>
      <c r="GZ92" s="14"/>
      <c r="HA92" s="14"/>
      <c r="HB92" s="14"/>
      <c r="HC92" s="14"/>
      <c r="HD92" s="14"/>
      <c r="HE92" s="14"/>
      <c r="HF92" s="14"/>
      <c r="HG92" s="14"/>
      <c r="HH92" s="14"/>
      <c r="HI92" s="14"/>
      <c r="HJ92" s="14"/>
      <c r="HK92" s="14"/>
      <c r="HL92" s="14"/>
      <c r="HM92" s="14"/>
      <c r="HN92" s="14"/>
      <c r="HO92" s="14"/>
      <c r="HP92" s="14"/>
      <c r="HQ92" s="14"/>
      <c r="HR92" s="14"/>
      <c r="HS92" s="14"/>
      <c r="HT92" s="14"/>
      <c r="HU92" s="14"/>
      <c r="HV92" s="14"/>
      <c r="HW92" s="14"/>
      <c r="HX92" s="14"/>
      <c r="HY92" s="14"/>
      <c r="HZ92" s="14"/>
      <c r="IA92" s="14"/>
      <c r="IB92" s="14"/>
      <c r="IC92" s="14"/>
      <c r="ID92" s="14"/>
      <c r="IE92" s="14"/>
      <c r="IF92" s="14"/>
      <c r="IG92" s="14"/>
      <c r="IH92" s="14"/>
      <c r="II92" s="14"/>
      <c r="IJ92" s="14"/>
      <c r="IK92" s="14"/>
      <c r="IL92" s="14"/>
      <c r="IM92" s="14"/>
      <c r="IN92" s="14"/>
      <c r="IO92" s="14"/>
      <c r="IP92" s="14"/>
      <c r="IQ92" s="14"/>
      <c r="IR92" s="14"/>
      <c r="IS92" s="14"/>
      <c r="IT92" s="14"/>
      <c r="IU92" s="14"/>
      <c r="IV92" s="14"/>
      <c r="IW92" s="14"/>
      <c r="IX92" s="14"/>
      <c r="IY92" s="14"/>
      <c r="IZ92" s="14"/>
      <c r="JA92" s="14"/>
      <c r="JB92" s="14"/>
      <c r="JC92" s="14"/>
      <c r="JD92" s="14"/>
      <c r="JE92" s="14"/>
      <c r="JF92" s="14"/>
      <c r="JG92" s="14"/>
      <c r="JH92" s="14"/>
      <c r="JI92" s="14"/>
      <c r="JJ92" s="14"/>
      <c r="JK92" s="14"/>
      <c r="JL92" s="14"/>
      <c r="JM92" s="14"/>
      <c r="JN92" s="14"/>
      <c r="JO92" s="14"/>
      <c r="JP92" s="14"/>
      <c r="JQ92" s="14"/>
      <c r="JR92" s="14"/>
      <c r="JS92" s="14"/>
      <c r="JT92" s="14"/>
      <c r="JU92" s="14"/>
      <c r="JV92" s="14"/>
      <c r="JW92" s="14"/>
      <c r="JX92" s="14"/>
      <c r="JY92" s="14"/>
      <c r="JZ92" s="14"/>
      <c r="KA92" s="14"/>
      <c r="KB92" s="14"/>
      <c r="KC92" s="14"/>
      <c r="KD92" s="14"/>
      <c r="KE92" s="14"/>
      <c r="KF92" s="14"/>
      <c r="KG92" s="14"/>
      <c r="KH92" s="14"/>
      <c r="KI92" s="14"/>
      <c r="KJ92" s="14"/>
      <c r="KK92" s="14"/>
      <c r="KL92" s="14"/>
      <c r="KM92" s="14"/>
      <c r="KN92" s="14"/>
      <c r="KO92" s="14"/>
      <c r="KP92" s="14"/>
      <c r="KQ92" s="14"/>
      <c r="KR92" s="14"/>
      <c r="KS92" s="14"/>
      <c r="KT92" s="14"/>
      <c r="KU92" s="14"/>
      <c r="KV92" s="14"/>
      <c r="KW92" s="14"/>
      <c r="KX92" s="14"/>
      <c r="KY92" s="14"/>
      <c r="KZ92" s="14"/>
      <c r="LA92" s="14"/>
      <c r="LB92" s="14"/>
      <c r="LC92" s="14"/>
      <c r="LD92" s="14"/>
      <c r="LE92" s="14"/>
      <c r="LF92" s="14"/>
      <c r="LG92" s="14"/>
      <c r="LH92" s="14"/>
      <c r="LI92" s="14"/>
      <c r="LJ92" s="14"/>
      <c r="LK92" s="14"/>
      <c r="LL92" s="14"/>
      <c r="LM92" s="14"/>
      <c r="LN92" s="14"/>
      <c r="LO92" s="14"/>
      <c r="LP92" s="14"/>
      <c r="LQ92" s="14"/>
      <c r="LR92" s="14"/>
      <c r="LS92" s="14"/>
      <c r="LT92" s="14"/>
      <c r="LU92" s="14"/>
      <c r="LV92" s="14"/>
      <c r="LW92" s="14"/>
      <c r="LX92" s="14"/>
      <c r="LY92" s="14"/>
      <c r="LZ92" s="14"/>
      <c r="MA92" s="14"/>
      <c r="MB92" s="14"/>
      <c r="MC92" s="14"/>
      <c r="MD92" s="14"/>
      <c r="ME92" s="14"/>
      <c r="MF92" s="14"/>
      <c r="MG92" s="14"/>
      <c r="MH92" s="14"/>
      <c r="MI92" s="14"/>
      <c r="MJ92" s="14"/>
      <c r="MK92" s="14"/>
      <c r="ML92" s="14"/>
      <c r="MM92" s="14"/>
      <c r="MN92" s="14"/>
      <c r="MO92" s="14"/>
      <c r="MP92" s="14"/>
      <c r="MQ92" s="14"/>
      <c r="MR92" s="14"/>
      <c r="MS92" s="14"/>
      <c r="MT92" s="14"/>
      <c r="MU92" s="14"/>
      <c r="MV92" s="14"/>
      <c r="MW92" s="14"/>
      <c r="MX92" s="14"/>
      <c r="MY92" s="14"/>
      <c r="MZ92" s="14"/>
      <c r="NA92" s="14"/>
      <c r="NB92" s="14"/>
      <c r="NC92" s="14"/>
      <c r="ND92" s="14"/>
      <c r="NE92" s="14"/>
      <c r="NF92" s="14"/>
      <c r="NG92" s="14"/>
      <c r="NH92" s="14"/>
      <c r="NI92" s="14"/>
      <c r="NJ92" s="14"/>
      <c r="NK92" s="14"/>
      <c r="NL92" s="14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</row>
    <row r="93" ht="13.5" customHeight="1">
      <c r="A93" s="2"/>
      <c r="B93" s="22"/>
      <c r="C93" s="2"/>
      <c r="D93" s="13"/>
      <c r="E93" s="3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4"/>
      <c r="FJ93" s="14"/>
      <c r="FK93" s="14"/>
      <c r="FL93" s="14"/>
      <c r="FM93" s="14"/>
      <c r="FN93" s="14"/>
      <c r="FO93" s="14"/>
      <c r="FP93" s="14"/>
      <c r="FQ93" s="14"/>
      <c r="FR93" s="14"/>
      <c r="FS93" s="14"/>
      <c r="FT93" s="14"/>
      <c r="FU93" s="14"/>
      <c r="FV93" s="14"/>
      <c r="FW93" s="14"/>
      <c r="FX93" s="14"/>
      <c r="FY93" s="14"/>
      <c r="FZ93" s="14"/>
      <c r="GA93" s="14"/>
      <c r="GB93" s="14"/>
      <c r="GC93" s="14"/>
      <c r="GD93" s="14"/>
      <c r="GE93" s="14"/>
      <c r="GF93" s="14"/>
      <c r="GG93" s="14"/>
      <c r="GH93" s="14"/>
      <c r="GI93" s="14"/>
      <c r="GJ93" s="14"/>
      <c r="GK93" s="14"/>
      <c r="GL93" s="14"/>
      <c r="GM93" s="14"/>
      <c r="GN93" s="14"/>
      <c r="GO93" s="14"/>
      <c r="GP93" s="14"/>
      <c r="GQ93" s="14"/>
      <c r="GR93" s="14"/>
      <c r="GS93" s="14"/>
      <c r="GT93" s="14"/>
      <c r="GU93" s="14"/>
      <c r="GV93" s="14"/>
      <c r="GW93" s="14"/>
      <c r="GX93" s="14"/>
      <c r="GY93" s="14"/>
      <c r="GZ93" s="14"/>
      <c r="HA93" s="14"/>
      <c r="HB93" s="14"/>
      <c r="HC93" s="14"/>
      <c r="HD93" s="14"/>
      <c r="HE93" s="14"/>
      <c r="HF93" s="14"/>
      <c r="HG93" s="14"/>
      <c r="HH93" s="14"/>
      <c r="HI93" s="14"/>
      <c r="HJ93" s="14"/>
      <c r="HK93" s="14"/>
      <c r="HL93" s="14"/>
      <c r="HM93" s="14"/>
      <c r="HN93" s="14"/>
      <c r="HO93" s="14"/>
      <c r="HP93" s="14"/>
      <c r="HQ93" s="14"/>
      <c r="HR93" s="14"/>
      <c r="HS93" s="14"/>
      <c r="HT93" s="14"/>
      <c r="HU93" s="14"/>
      <c r="HV93" s="14"/>
      <c r="HW93" s="14"/>
      <c r="HX93" s="14"/>
      <c r="HY93" s="14"/>
      <c r="HZ93" s="14"/>
      <c r="IA93" s="14"/>
      <c r="IB93" s="14"/>
      <c r="IC93" s="14"/>
      <c r="ID93" s="14"/>
      <c r="IE93" s="14"/>
      <c r="IF93" s="14"/>
      <c r="IG93" s="14"/>
      <c r="IH93" s="14"/>
      <c r="II93" s="14"/>
      <c r="IJ93" s="14"/>
      <c r="IK93" s="14"/>
      <c r="IL93" s="14"/>
      <c r="IM93" s="14"/>
      <c r="IN93" s="14"/>
      <c r="IO93" s="14"/>
      <c r="IP93" s="14"/>
      <c r="IQ93" s="14"/>
      <c r="IR93" s="14"/>
      <c r="IS93" s="14"/>
      <c r="IT93" s="14"/>
      <c r="IU93" s="14"/>
      <c r="IV93" s="14"/>
      <c r="IW93" s="14"/>
      <c r="IX93" s="14"/>
      <c r="IY93" s="14"/>
      <c r="IZ93" s="14"/>
      <c r="JA93" s="14"/>
      <c r="JB93" s="14"/>
      <c r="JC93" s="14"/>
      <c r="JD93" s="14"/>
      <c r="JE93" s="14"/>
      <c r="JF93" s="14"/>
      <c r="JG93" s="14"/>
      <c r="JH93" s="14"/>
      <c r="JI93" s="14"/>
      <c r="JJ93" s="14"/>
      <c r="JK93" s="14"/>
      <c r="JL93" s="14"/>
      <c r="JM93" s="14"/>
      <c r="JN93" s="14"/>
      <c r="JO93" s="14"/>
      <c r="JP93" s="14"/>
      <c r="JQ93" s="14"/>
      <c r="JR93" s="14"/>
      <c r="JS93" s="14"/>
      <c r="JT93" s="14"/>
      <c r="JU93" s="14"/>
      <c r="JV93" s="14"/>
      <c r="JW93" s="14"/>
      <c r="JX93" s="14"/>
      <c r="JY93" s="14"/>
      <c r="JZ93" s="14"/>
      <c r="KA93" s="14"/>
      <c r="KB93" s="14"/>
      <c r="KC93" s="14"/>
      <c r="KD93" s="14"/>
      <c r="KE93" s="14"/>
      <c r="KF93" s="14"/>
      <c r="KG93" s="14"/>
      <c r="KH93" s="14"/>
      <c r="KI93" s="14"/>
      <c r="KJ93" s="14"/>
      <c r="KK93" s="14"/>
      <c r="KL93" s="14"/>
      <c r="KM93" s="14"/>
      <c r="KN93" s="14"/>
      <c r="KO93" s="14"/>
      <c r="KP93" s="14"/>
      <c r="KQ93" s="14"/>
      <c r="KR93" s="14"/>
      <c r="KS93" s="14"/>
      <c r="KT93" s="14"/>
      <c r="KU93" s="14"/>
      <c r="KV93" s="14"/>
      <c r="KW93" s="14"/>
      <c r="KX93" s="14"/>
      <c r="KY93" s="14"/>
      <c r="KZ93" s="14"/>
      <c r="LA93" s="14"/>
      <c r="LB93" s="14"/>
      <c r="LC93" s="14"/>
      <c r="LD93" s="14"/>
      <c r="LE93" s="14"/>
      <c r="LF93" s="14"/>
      <c r="LG93" s="14"/>
      <c r="LH93" s="14"/>
      <c r="LI93" s="14"/>
      <c r="LJ93" s="14"/>
      <c r="LK93" s="14"/>
      <c r="LL93" s="14"/>
      <c r="LM93" s="14"/>
      <c r="LN93" s="14"/>
      <c r="LO93" s="14"/>
      <c r="LP93" s="14"/>
      <c r="LQ93" s="14"/>
      <c r="LR93" s="14"/>
      <c r="LS93" s="14"/>
      <c r="LT93" s="14"/>
      <c r="LU93" s="14"/>
      <c r="LV93" s="14"/>
      <c r="LW93" s="14"/>
      <c r="LX93" s="14"/>
      <c r="LY93" s="14"/>
      <c r="LZ93" s="14"/>
      <c r="MA93" s="14"/>
      <c r="MB93" s="14"/>
      <c r="MC93" s="14"/>
      <c r="MD93" s="14"/>
      <c r="ME93" s="14"/>
      <c r="MF93" s="14"/>
      <c r="MG93" s="14"/>
      <c r="MH93" s="14"/>
      <c r="MI93" s="14"/>
      <c r="MJ93" s="14"/>
      <c r="MK93" s="14"/>
      <c r="ML93" s="14"/>
      <c r="MM93" s="14"/>
      <c r="MN93" s="14"/>
      <c r="MO93" s="14"/>
      <c r="MP93" s="14"/>
      <c r="MQ93" s="14"/>
      <c r="MR93" s="14"/>
      <c r="MS93" s="14"/>
      <c r="MT93" s="14"/>
      <c r="MU93" s="14"/>
      <c r="MV93" s="14"/>
      <c r="MW93" s="14"/>
      <c r="MX93" s="14"/>
      <c r="MY93" s="14"/>
      <c r="MZ93" s="14"/>
      <c r="NA93" s="14"/>
      <c r="NB93" s="14"/>
      <c r="NC93" s="14"/>
      <c r="ND93" s="14"/>
      <c r="NE93" s="14"/>
      <c r="NF93" s="14"/>
      <c r="NG93" s="14"/>
      <c r="NH93" s="14"/>
      <c r="NI93" s="14"/>
      <c r="NJ93" s="14"/>
      <c r="NK93" s="14"/>
      <c r="NL93" s="14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</row>
    <row r="94" ht="13.5" customHeight="1">
      <c r="A94" s="2"/>
      <c r="B94" s="22"/>
      <c r="C94" s="2"/>
      <c r="D94" s="13"/>
      <c r="E94" s="3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4"/>
      <c r="EJ94" s="14"/>
      <c r="EK94" s="14"/>
      <c r="EL94" s="14"/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4"/>
      <c r="FJ94" s="14"/>
      <c r="FK94" s="14"/>
      <c r="FL94" s="14"/>
      <c r="FM94" s="14"/>
      <c r="FN94" s="14"/>
      <c r="FO94" s="14"/>
      <c r="FP94" s="14"/>
      <c r="FQ94" s="14"/>
      <c r="FR94" s="14"/>
      <c r="FS94" s="14"/>
      <c r="FT94" s="14"/>
      <c r="FU94" s="14"/>
      <c r="FV94" s="14"/>
      <c r="FW94" s="14"/>
      <c r="FX94" s="14"/>
      <c r="FY94" s="14"/>
      <c r="FZ94" s="14"/>
      <c r="GA94" s="14"/>
      <c r="GB94" s="14"/>
      <c r="GC94" s="14"/>
      <c r="GD94" s="14"/>
      <c r="GE94" s="14"/>
      <c r="GF94" s="14"/>
      <c r="GG94" s="14"/>
      <c r="GH94" s="14"/>
      <c r="GI94" s="14"/>
      <c r="GJ94" s="14"/>
      <c r="GK94" s="14"/>
      <c r="GL94" s="14"/>
      <c r="GM94" s="14"/>
      <c r="GN94" s="14"/>
      <c r="GO94" s="14"/>
      <c r="GP94" s="14"/>
      <c r="GQ94" s="14"/>
      <c r="GR94" s="14"/>
      <c r="GS94" s="14"/>
      <c r="GT94" s="14"/>
      <c r="GU94" s="14"/>
      <c r="GV94" s="14"/>
      <c r="GW94" s="14"/>
      <c r="GX94" s="14"/>
      <c r="GY94" s="14"/>
      <c r="GZ94" s="14"/>
      <c r="HA94" s="14"/>
      <c r="HB94" s="14"/>
      <c r="HC94" s="14"/>
      <c r="HD94" s="14"/>
      <c r="HE94" s="14"/>
      <c r="HF94" s="14"/>
      <c r="HG94" s="14"/>
      <c r="HH94" s="14"/>
      <c r="HI94" s="14"/>
      <c r="HJ94" s="14"/>
      <c r="HK94" s="14"/>
      <c r="HL94" s="14"/>
      <c r="HM94" s="14"/>
      <c r="HN94" s="14"/>
      <c r="HO94" s="14"/>
      <c r="HP94" s="14"/>
      <c r="HQ94" s="14"/>
      <c r="HR94" s="14"/>
      <c r="HS94" s="14"/>
      <c r="HT94" s="14"/>
      <c r="HU94" s="14"/>
      <c r="HV94" s="14"/>
      <c r="HW94" s="14"/>
      <c r="HX94" s="14"/>
      <c r="HY94" s="14"/>
      <c r="HZ94" s="14"/>
      <c r="IA94" s="14"/>
      <c r="IB94" s="14"/>
      <c r="IC94" s="14"/>
      <c r="ID94" s="14"/>
      <c r="IE94" s="14"/>
      <c r="IF94" s="14"/>
      <c r="IG94" s="14"/>
      <c r="IH94" s="14"/>
      <c r="II94" s="14"/>
      <c r="IJ94" s="14"/>
      <c r="IK94" s="14"/>
      <c r="IL94" s="14"/>
      <c r="IM94" s="14"/>
      <c r="IN94" s="14"/>
      <c r="IO94" s="14"/>
      <c r="IP94" s="14"/>
      <c r="IQ94" s="14"/>
      <c r="IR94" s="14"/>
      <c r="IS94" s="14"/>
      <c r="IT94" s="14"/>
      <c r="IU94" s="14"/>
      <c r="IV94" s="14"/>
      <c r="IW94" s="14"/>
      <c r="IX94" s="14"/>
      <c r="IY94" s="14"/>
      <c r="IZ94" s="14"/>
      <c r="JA94" s="14"/>
      <c r="JB94" s="14"/>
      <c r="JC94" s="14"/>
      <c r="JD94" s="14"/>
      <c r="JE94" s="14"/>
      <c r="JF94" s="14"/>
      <c r="JG94" s="14"/>
      <c r="JH94" s="14"/>
      <c r="JI94" s="14"/>
      <c r="JJ94" s="14"/>
      <c r="JK94" s="14"/>
      <c r="JL94" s="14"/>
      <c r="JM94" s="14"/>
      <c r="JN94" s="14"/>
      <c r="JO94" s="14"/>
      <c r="JP94" s="14"/>
      <c r="JQ94" s="14"/>
      <c r="JR94" s="14"/>
      <c r="JS94" s="14"/>
      <c r="JT94" s="14"/>
      <c r="JU94" s="14"/>
      <c r="JV94" s="14"/>
      <c r="JW94" s="14"/>
      <c r="JX94" s="14"/>
      <c r="JY94" s="14"/>
      <c r="JZ94" s="14"/>
      <c r="KA94" s="14"/>
      <c r="KB94" s="14"/>
      <c r="KC94" s="14"/>
      <c r="KD94" s="14"/>
      <c r="KE94" s="14"/>
      <c r="KF94" s="14"/>
      <c r="KG94" s="14"/>
      <c r="KH94" s="14"/>
      <c r="KI94" s="14"/>
      <c r="KJ94" s="14"/>
      <c r="KK94" s="14"/>
      <c r="KL94" s="14"/>
      <c r="KM94" s="14"/>
      <c r="KN94" s="14"/>
      <c r="KO94" s="14"/>
      <c r="KP94" s="14"/>
      <c r="KQ94" s="14"/>
      <c r="KR94" s="14"/>
      <c r="KS94" s="14"/>
      <c r="KT94" s="14"/>
      <c r="KU94" s="14"/>
      <c r="KV94" s="14"/>
      <c r="KW94" s="14"/>
      <c r="KX94" s="14"/>
      <c r="KY94" s="14"/>
      <c r="KZ94" s="14"/>
      <c r="LA94" s="14"/>
      <c r="LB94" s="14"/>
      <c r="LC94" s="14"/>
      <c r="LD94" s="14"/>
      <c r="LE94" s="14"/>
      <c r="LF94" s="14"/>
      <c r="LG94" s="14"/>
      <c r="LH94" s="14"/>
      <c r="LI94" s="14"/>
      <c r="LJ94" s="14"/>
      <c r="LK94" s="14"/>
      <c r="LL94" s="14"/>
      <c r="LM94" s="14"/>
      <c r="LN94" s="14"/>
      <c r="LO94" s="14"/>
      <c r="LP94" s="14"/>
      <c r="LQ94" s="14"/>
      <c r="LR94" s="14"/>
      <c r="LS94" s="14"/>
      <c r="LT94" s="14"/>
      <c r="LU94" s="14"/>
      <c r="LV94" s="14"/>
      <c r="LW94" s="14"/>
      <c r="LX94" s="14"/>
      <c r="LY94" s="14"/>
      <c r="LZ94" s="14"/>
      <c r="MA94" s="14"/>
      <c r="MB94" s="14"/>
      <c r="MC94" s="14"/>
      <c r="MD94" s="14"/>
      <c r="ME94" s="14"/>
      <c r="MF94" s="14"/>
      <c r="MG94" s="14"/>
      <c r="MH94" s="14"/>
      <c r="MI94" s="14"/>
      <c r="MJ94" s="14"/>
      <c r="MK94" s="14"/>
      <c r="ML94" s="14"/>
      <c r="MM94" s="14"/>
      <c r="MN94" s="14"/>
      <c r="MO94" s="14"/>
      <c r="MP94" s="14"/>
      <c r="MQ94" s="14"/>
      <c r="MR94" s="14"/>
      <c r="MS94" s="14"/>
      <c r="MT94" s="14"/>
      <c r="MU94" s="14"/>
      <c r="MV94" s="14"/>
      <c r="MW94" s="14"/>
      <c r="MX94" s="14"/>
      <c r="MY94" s="14"/>
      <c r="MZ94" s="14"/>
      <c r="NA94" s="14"/>
      <c r="NB94" s="14"/>
      <c r="NC94" s="14"/>
      <c r="ND94" s="14"/>
      <c r="NE94" s="14"/>
      <c r="NF94" s="14"/>
      <c r="NG94" s="14"/>
      <c r="NH94" s="14"/>
      <c r="NI94" s="14"/>
      <c r="NJ94" s="14"/>
      <c r="NK94" s="14"/>
      <c r="NL94" s="14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</row>
    <row r="95" ht="13.5" customHeight="1">
      <c r="A95" s="2"/>
      <c r="B95" s="22"/>
      <c r="C95" s="2"/>
      <c r="D95" s="13"/>
      <c r="E95" s="3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14"/>
      <c r="FU95" s="14"/>
      <c r="FV95" s="14"/>
      <c r="FW95" s="14"/>
      <c r="FX95" s="14"/>
      <c r="FY95" s="14"/>
      <c r="FZ95" s="14"/>
      <c r="GA95" s="14"/>
      <c r="GB95" s="14"/>
      <c r="GC95" s="14"/>
      <c r="GD95" s="14"/>
      <c r="GE95" s="14"/>
      <c r="GF95" s="14"/>
      <c r="GG95" s="14"/>
      <c r="GH95" s="14"/>
      <c r="GI95" s="14"/>
      <c r="GJ95" s="14"/>
      <c r="GK95" s="14"/>
      <c r="GL95" s="14"/>
      <c r="GM95" s="14"/>
      <c r="GN95" s="14"/>
      <c r="GO95" s="14"/>
      <c r="GP95" s="14"/>
      <c r="GQ95" s="14"/>
      <c r="GR95" s="14"/>
      <c r="GS95" s="14"/>
      <c r="GT95" s="14"/>
      <c r="GU95" s="14"/>
      <c r="GV95" s="14"/>
      <c r="GW95" s="14"/>
      <c r="GX95" s="14"/>
      <c r="GY95" s="14"/>
      <c r="GZ95" s="14"/>
      <c r="HA95" s="14"/>
      <c r="HB95" s="14"/>
      <c r="HC95" s="14"/>
      <c r="HD95" s="14"/>
      <c r="HE95" s="14"/>
      <c r="HF95" s="14"/>
      <c r="HG95" s="14"/>
      <c r="HH95" s="14"/>
      <c r="HI95" s="14"/>
      <c r="HJ95" s="14"/>
      <c r="HK95" s="14"/>
      <c r="HL95" s="14"/>
      <c r="HM95" s="14"/>
      <c r="HN95" s="14"/>
      <c r="HO95" s="14"/>
      <c r="HP95" s="14"/>
      <c r="HQ95" s="14"/>
      <c r="HR95" s="14"/>
      <c r="HS95" s="14"/>
      <c r="HT95" s="14"/>
      <c r="HU95" s="14"/>
      <c r="HV95" s="14"/>
      <c r="HW95" s="14"/>
      <c r="HX95" s="14"/>
      <c r="HY95" s="14"/>
      <c r="HZ95" s="14"/>
      <c r="IA95" s="14"/>
      <c r="IB95" s="14"/>
      <c r="IC95" s="14"/>
      <c r="ID95" s="14"/>
      <c r="IE95" s="14"/>
      <c r="IF95" s="14"/>
      <c r="IG95" s="14"/>
      <c r="IH95" s="14"/>
      <c r="II95" s="14"/>
      <c r="IJ95" s="14"/>
      <c r="IK95" s="14"/>
      <c r="IL95" s="14"/>
      <c r="IM95" s="14"/>
      <c r="IN95" s="14"/>
      <c r="IO95" s="14"/>
      <c r="IP95" s="14"/>
      <c r="IQ95" s="14"/>
      <c r="IR95" s="14"/>
      <c r="IS95" s="14"/>
      <c r="IT95" s="14"/>
      <c r="IU95" s="14"/>
      <c r="IV95" s="14"/>
      <c r="IW95" s="14"/>
      <c r="IX95" s="14"/>
      <c r="IY95" s="14"/>
      <c r="IZ95" s="14"/>
      <c r="JA95" s="14"/>
      <c r="JB95" s="14"/>
      <c r="JC95" s="14"/>
      <c r="JD95" s="14"/>
      <c r="JE95" s="14"/>
      <c r="JF95" s="14"/>
      <c r="JG95" s="14"/>
      <c r="JH95" s="14"/>
      <c r="JI95" s="14"/>
      <c r="JJ95" s="14"/>
      <c r="JK95" s="14"/>
      <c r="JL95" s="14"/>
      <c r="JM95" s="14"/>
      <c r="JN95" s="14"/>
      <c r="JO95" s="14"/>
      <c r="JP95" s="14"/>
      <c r="JQ95" s="14"/>
      <c r="JR95" s="14"/>
      <c r="JS95" s="14"/>
      <c r="JT95" s="14"/>
      <c r="JU95" s="14"/>
      <c r="JV95" s="14"/>
      <c r="JW95" s="14"/>
      <c r="JX95" s="14"/>
      <c r="JY95" s="14"/>
      <c r="JZ95" s="14"/>
      <c r="KA95" s="14"/>
      <c r="KB95" s="14"/>
      <c r="KC95" s="14"/>
      <c r="KD95" s="14"/>
      <c r="KE95" s="14"/>
      <c r="KF95" s="14"/>
      <c r="KG95" s="14"/>
      <c r="KH95" s="14"/>
      <c r="KI95" s="14"/>
      <c r="KJ95" s="14"/>
      <c r="KK95" s="14"/>
      <c r="KL95" s="14"/>
      <c r="KM95" s="14"/>
      <c r="KN95" s="14"/>
      <c r="KO95" s="14"/>
      <c r="KP95" s="14"/>
      <c r="KQ95" s="14"/>
      <c r="KR95" s="14"/>
      <c r="KS95" s="14"/>
      <c r="KT95" s="14"/>
      <c r="KU95" s="14"/>
      <c r="KV95" s="14"/>
      <c r="KW95" s="14"/>
      <c r="KX95" s="14"/>
      <c r="KY95" s="14"/>
      <c r="KZ95" s="14"/>
      <c r="LA95" s="14"/>
      <c r="LB95" s="14"/>
      <c r="LC95" s="14"/>
      <c r="LD95" s="14"/>
      <c r="LE95" s="14"/>
      <c r="LF95" s="14"/>
      <c r="LG95" s="14"/>
      <c r="LH95" s="14"/>
      <c r="LI95" s="14"/>
      <c r="LJ95" s="14"/>
      <c r="LK95" s="14"/>
      <c r="LL95" s="14"/>
      <c r="LM95" s="14"/>
      <c r="LN95" s="14"/>
      <c r="LO95" s="14"/>
      <c r="LP95" s="14"/>
      <c r="LQ95" s="14"/>
      <c r="LR95" s="14"/>
      <c r="LS95" s="14"/>
      <c r="LT95" s="14"/>
      <c r="LU95" s="14"/>
      <c r="LV95" s="14"/>
      <c r="LW95" s="14"/>
      <c r="LX95" s="14"/>
      <c r="LY95" s="14"/>
      <c r="LZ95" s="14"/>
      <c r="MA95" s="14"/>
      <c r="MB95" s="14"/>
      <c r="MC95" s="14"/>
      <c r="MD95" s="14"/>
      <c r="ME95" s="14"/>
      <c r="MF95" s="14"/>
      <c r="MG95" s="14"/>
      <c r="MH95" s="14"/>
      <c r="MI95" s="14"/>
      <c r="MJ95" s="14"/>
      <c r="MK95" s="14"/>
      <c r="ML95" s="14"/>
      <c r="MM95" s="14"/>
      <c r="MN95" s="14"/>
      <c r="MO95" s="14"/>
      <c r="MP95" s="14"/>
      <c r="MQ95" s="14"/>
      <c r="MR95" s="14"/>
      <c r="MS95" s="14"/>
      <c r="MT95" s="14"/>
      <c r="MU95" s="14"/>
      <c r="MV95" s="14"/>
      <c r="MW95" s="14"/>
      <c r="MX95" s="14"/>
      <c r="MY95" s="14"/>
      <c r="MZ95" s="14"/>
      <c r="NA95" s="14"/>
      <c r="NB95" s="14"/>
      <c r="NC95" s="14"/>
      <c r="ND95" s="14"/>
      <c r="NE95" s="14"/>
      <c r="NF95" s="14"/>
      <c r="NG95" s="14"/>
      <c r="NH95" s="14"/>
      <c r="NI95" s="14"/>
      <c r="NJ95" s="14"/>
      <c r="NK95" s="14"/>
      <c r="NL95" s="14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</row>
    <row r="96" ht="13.5" customHeight="1">
      <c r="A96" s="2"/>
      <c r="B96" s="22"/>
      <c r="C96" s="2"/>
      <c r="D96" s="13"/>
      <c r="E96" s="3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4"/>
      <c r="FJ96" s="14"/>
      <c r="FK96" s="14"/>
      <c r="FL96" s="14"/>
      <c r="FM96" s="14"/>
      <c r="FN96" s="14"/>
      <c r="FO96" s="14"/>
      <c r="FP96" s="14"/>
      <c r="FQ96" s="14"/>
      <c r="FR96" s="14"/>
      <c r="FS96" s="14"/>
      <c r="FT96" s="14"/>
      <c r="FU96" s="14"/>
      <c r="FV96" s="14"/>
      <c r="FW96" s="14"/>
      <c r="FX96" s="14"/>
      <c r="FY96" s="14"/>
      <c r="FZ96" s="14"/>
      <c r="GA96" s="14"/>
      <c r="GB96" s="14"/>
      <c r="GC96" s="14"/>
      <c r="GD96" s="14"/>
      <c r="GE96" s="14"/>
      <c r="GF96" s="14"/>
      <c r="GG96" s="14"/>
      <c r="GH96" s="14"/>
      <c r="GI96" s="14"/>
      <c r="GJ96" s="14"/>
      <c r="GK96" s="14"/>
      <c r="GL96" s="14"/>
      <c r="GM96" s="14"/>
      <c r="GN96" s="14"/>
      <c r="GO96" s="14"/>
      <c r="GP96" s="14"/>
      <c r="GQ96" s="14"/>
      <c r="GR96" s="14"/>
      <c r="GS96" s="14"/>
      <c r="GT96" s="14"/>
      <c r="GU96" s="14"/>
      <c r="GV96" s="14"/>
      <c r="GW96" s="14"/>
      <c r="GX96" s="14"/>
      <c r="GY96" s="14"/>
      <c r="GZ96" s="14"/>
      <c r="HA96" s="14"/>
      <c r="HB96" s="14"/>
      <c r="HC96" s="14"/>
      <c r="HD96" s="14"/>
      <c r="HE96" s="14"/>
      <c r="HF96" s="14"/>
      <c r="HG96" s="14"/>
      <c r="HH96" s="14"/>
      <c r="HI96" s="14"/>
      <c r="HJ96" s="14"/>
      <c r="HK96" s="14"/>
      <c r="HL96" s="14"/>
      <c r="HM96" s="14"/>
      <c r="HN96" s="14"/>
      <c r="HO96" s="14"/>
      <c r="HP96" s="14"/>
      <c r="HQ96" s="14"/>
      <c r="HR96" s="14"/>
      <c r="HS96" s="14"/>
      <c r="HT96" s="14"/>
      <c r="HU96" s="14"/>
      <c r="HV96" s="14"/>
      <c r="HW96" s="14"/>
      <c r="HX96" s="14"/>
      <c r="HY96" s="14"/>
      <c r="HZ96" s="14"/>
      <c r="IA96" s="14"/>
      <c r="IB96" s="14"/>
      <c r="IC96" s="14"/>
      <c r="ID96" s="14"/>
      <c r="IE96" s="14"/>
      <c r="IF96" s="14"/>
      <c r="IG96" s="14"/>
      <c r="IH96" s="14"/>
      <c r="II96" s="14"/>
      <c r="IJ96" s="14"/>
      <c r="IK96" s="14"/>
      <c r="IL96" s="14"/>
      <c r="IM96" s="14"/>
      <c r="IN96" s="14"/>
      <c r="IO96" s="14"/>
      <c r="IP96" s="14"/>
      <c r="IQ96" s="14"/>
      <c r="IR96" s="14"/>
      <c r="IS96" s="14"/>
      <c r="IT96" s="14"/>
      <c r="IU96" s="14"/>
      <c r="IV96" s="14"/>
      <c r="IW96" s="14"/>
      <c r="IX96" s="14"/>
      <c r="IY96" s="14"/>
      <c r="IZ96" s="14"/>
      <c r="JA96" s="14"/>
      <c r="JB96" s="14"/>
      <c r="JC96" s="14"/>
      <c r="JD96" s="14"/>
      <c r="JE96" s="14"/>
      <c r="JF96" s="14"/>
      <c r="JG96" s="14"/>
      <c r="JH96" s="14"/>
      <c r="JI96" s="14"/>
      <c r="JJ96" s="14"/>
      <c r="JK96" s="14"/>
      <c r="JL96" s="14"/>
      <c r="JM96" s="14"/>
      <c r="JN96" s="14"/>
      <c r="JO96" s="14"/>
      <c r="JP96" s="14"/>
      <c r="JQ96" s="14"/>
      <c r="JR96" s="14"/>
      <c r="JS96" s="14"/>
      <c r="JT96" s="14"/>
      <c r="JU96" s="14"/>
      <c r="JV96" s="14"/>
      <c r="JW96" s="14"/>
      <c r="JX96" s="14"/>
      <c r="JY96" s="14"/>
      <c r="JZ96" s="14"/>
      <c r="KA96" s="14"/>
      <c r="KB96" s="14"/>
      <c r="KC96" s="14"/>
      <c r="KD96" s="14"/>
      <c r="KE96" s="14"/>
      <c r="KF96" s="14"/>
      <c r="KG96" s="14"/>
      <c r="KH96" s="14"/>
      <c r="KI96" s="14"/>
      <c r="KJ96" s="14"/>
      <c r="KK96" s="14"/>
      <c r="KL96" s="14"/>
      <c r="KM96" s="14"/>
      <c r="KN96" s="14"/>
      <c r="KO96" s="14"/>
      <c r="KP96" s="14"/>
      <c r="KQ96" s="14"/>
      <c r="KR96" s="14"/>
      <c r="KS96" s="14"/>
      <c r="KT96" s="14"/>
      <c r="KU96" s="14"/>
      <c r="KV96" s="14"/>
      <c r="KW96" s="14"/>
      <c r="KX96" s="14"/>
      <c r="KY96" s="14"/>
      <c r="KZ96" s="14"/>
      <c r="LA96" s="14"/>
      <c r="LB96" s="14"/>
      <c r="LC96" s="14"/>
      <c r="LD96" s="14"/>
      <c r="LE96" s="14"/>
      <c r="LF96" s="14"/>
      <c r="LG96" s="14"/>
      <c r="LH96" s="14"/>
      <c r="LI96" s="14"/>
      <c r="LJ96" s="14"/>
      <c r="LK96" s="14"/>
      <c r="LL96" s="14"/>
      <c r="LM96" s="14"/>
      <c r="LN96" s="14"/>
      <c r="LO96" s="14"/>
      <c r="LP96" s="14"/>
      <c r="LQ96" s="14"/>
      <c r="LR96" s="14"/>
      <c r="LS96" s="14"/>
      <c r="LT96" s="14"/>
      <c r="LU96" s="14"/>
      <c r="LV96" s="14"/>
      <c r="LW96" s="14"/>
      <c r="LX96" s="14"/>
      <c r="LY96" s="14"/>
      <c r="LZ96" s="14"/>
      <c r="MA96" s="14"/>
      <c r="MB96" s="14"/>
      <c r="MC96" s="14"/>
      <c r="MD96" s="14"/>
      <c r="ME96" s="14"/>
      <c r="MF96" s="14"/>
      <c r="MG96" s="14"/>
      <c r="MH96" s="14"/>
      <c r="MI96" s="14"/>
      <c r="MJ96" s="14"/>
      <c r="MK96" s="14"/>
      <c r="ML96" s="14"/>
      <c r="MM96" s="14"/>
      <c r="MN96" s="14"/>
      <c r="MO96" s="14"/>
      <c r="MP96" s="14"/>
      <c r="MQ96" s="14"/>
      <c r="MR96" s="14"/>
      <c r="MS96" s="14"/>
      <c r="MT96" s="14"/>
      <c r="MU96" s="14"/>
      <c r="MV96" s="14"/>
      <c r="MW96" s="14"/>
      <c r="MX96" s="14"/>
      <c r="MY96" s="14"/>
      <c r="MZ96" s="14"/>
      <c r="NA96" s="14"/>
      <c r="NB96" s="14"/>
      <c r="NC96" s="14"/>
      <c r="ND96" s="14"/>
      <c r="NE96" s="14"/>
      <c r="NF96" s="14"/>
      <c r="NG96" s="14"/>
      <c r="NH96" s="14"/>
      <c r="NI96" s="14"/>
      <c r="NJ96" s="14"/>
      <c r="NK96" s="14"/>
      <c r="NL96" s="14"/>
      <c r="NM96" s="3"/>
      <c r="NN96" s="3"/>
      <c r="NO96" s="3"/>
      <c r="NP96" s="3"/>
      <c r="NQ96" s="3"/>
      <c r="NR96" s="3"/>
      <c r="NS96" s="3"/>
      <c r="NT96" s="3"/>
      <c r="NU96" s="3"/>
      <c r="NV96" s="3"/>
      <c r="NW96" s="3"/>
      <c r="NX96" s="3"/>
      <c r="NY96" s="3"/>
      <c r="NZ96" s="3"/>
      <c r="OA96" s="3"/>
      <c r="OB96" s="3"/>
      <c r="OC96" s="3"/>
      <c r="OD96" s="3"/>
      <c r="OE96" s="3"/>
      <c r="OF96" s="3"/>
    </row>
    <row r="97" ht="13.5" customHeight="1">
      <c r="A97" s="2"/>
      <c r="B97" s="22"/>
      <c r="C97" s="2"/>
      <c r="D97" s="13"/>
      <c r="E97" s="3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4"/>
      <c r="FJ97" s="14"/>
      <c r="FK97" s="14"/>
      <c r="FL97" s="14"/>
      <c r="FM97" s="14"/>
      <c r="FN97" s="14"/>
      <c r="FO97" s="14"/>
      <c r="FP97" s="14"/>
      <c r="FQ97" s="14"/>
      <c r="FR97" s="14"/>
      <c r="FS97" s="14"/>
      <c r="FT97" s="14"/>
      <c r="FU97" s="14"/>
      <c r="FV97" s="14"/>
      <c r="FW97" s="14"/>
      <c r="FX97" s="14"/>
      <c r="FY97" s="14"/>
      <c r="FZ97" s="14"/>
      <c r="GA97" s="14"/>
      <c r="GB97" s="14"/>
      <c r="GC97" s="14"/>
      <c r="GD97" s="14"/>
      <c r="GE97" s="14"/>
      <c r="GF97" s="14"/>
      <c r="GG97" s="14"/>
      <c r="GH97" s="14"/>
      <c r="GI97" s="14"/>
      <c r="GJ97" s="14"/>
      <c r="GK97" s="14"/>
      <c r="GL97" s="14"/>
      <c r="GM97" s="14"/>
      <c r="GN97" s="14"/>
      <c r="GO97" s="14"/>
      <c r="GP97" s="14"/>
      <c r="GQ97" s="14"/>
      <c r="GR97" s="14"/>
      <c r="GS97" s="14"/>
      <c r="GT97" s="14"/>
      <c r="GU97" s="14"/>
      <c r="GV97" s="14"/>
      <c r="GW97" s="14"/>
      <c r="GX97" s="14"/>
      <c r="GY97" s="14"/>
      <c r="GZ97" s="14"/>
      <c r="HA97" s="14"/>
      <c r="HB97" s="14"/>
      <c r="HC97" s="14"/>
      <c r="HD97" s="14"/>
      <c r="HE97" s="14"/>
      <c r="HF97" s="14"/>
      <c r="HG97" s="14"/>
      <c r="HH97" s="14"/>
      <c r="HI97" s="14"/>
      <c r="HJ97" s="14"/>
      <c r="HK97" s="14"/>
      <c r="HL97" s="14"/>
      <c r="HM97" s="14"/>
      <c r="HN97" s="14"/>
      <c r="HO97" s="14"/>
      <c r="HP97" s="14"/>
      <c r="HQ97" s="14"/>
      <c r="HR97" s="14"/>
      <c r="HS97" s="14"/>
      <c r="HT97" s="14"/>
      <c r="HU97" s="14"/>
      <c r="HV97" s="14"/>
      <c r="HW97" s="14"/>
      <c r="HX97" s="14"/>
      <c r="HY97" s="14"/>
      <c r="HZ97" s="14"/>
      <c r="IA97" s="14"/>
      <c r="IB97" s="14"/>
      <c r="IC97" s="14"/>
      <c r="ID97" s="14"/>
      <c r="IE97" s="14"/>
      <c r="IF97" s="14"/>
      <c r="IG97" s="14"/>
      <c r="IH97" s="14"/>
      <c r="II97" s="14"/>
      <c r="IJ97" s="14"/>
      <c r="IK97" s="14"/>
      <c r="IL97" s="14"/>
      <c r="IM97" s="14"/>
      <c r="IN97" s="14"/>
      <c r="IO97" s="14"/>
      <c r="IP97" s="14"/>
      <c r="IQ97" s="14"/>
      <c r="IR97" s="14"/>
      <c r="IS97" s="14"/>
      <c r="IT97" s="14"/>
      <c r="IU97" s="14"/>
      <c r="IV97" s="14"/>
      <c r="IW97" s="14"/>
      <c r="IX97" s="14"/>
      <c r="IY97" s="14"/>
      <c r="IZ97" s="14"/>
      <c r="JA97" s="14"/>
      <c r="JB97" s="14"/>
      <c r="JC97" s="14"/>
      <c r="JD97" s="14"/>
      <c r="JE97" s="14"/>
      <c r="JF97" s="14"/>
      <c r="JG97" s="14"/>
      <c r="JH97" s="14"/>
      <c r="JI97" s="14"/>
      <c r="JJ97" s="14"/>
      <c r="JK97" s="14"/>
      <c r="JL97" s="14"/>
      <c r="JM97" s="14"/>
      <c r="JN97" s="14"/>
      <c r="JO97" s="14"/>
      <c r="JP97" s="14"/>
      <c r="JQ97" s="14"/>
      <c r="JR97" s="14"/>
      <c r="JS97" s="14"/>
      <c r="JT97" s="14"/>
      <c r="JU97" s="14"/>
      <c r="JV97" s="14"/>
      <c r="JW97" s="14"/>
      <c r="JX97" s="14"/>
      <c r="JY97" s="14"/>
      <c r="JZ97" s="14"/>
      <c r="KA97" s="14"/>
      <c r="KB97" s="14"/>
      <c r="KC97" s="14"/>
      <c r="KD97" s="14"/>
      <c r="KE97" s="14"/>
      <c r="KF97" s="14"/>
      <c r="KG97" s="14"/>
      <c r="KH97" s="14"/>
      <c r="KI97" s="14"/>
      <c r="KJ97" s="14"/>
      <c r="KK97" s="14"/>
      <c r="KL97" s="14"/>
      <c r="KM97" s="14"/>
      <c r="KN97" s="14"/>
      <c r="KO97" s="14"/>
      <c r="KP97" s="14"/>
      <c r="KQ97" s="14"/>
      <c r="KR97" s="14"/>
      <c r="KS97" s="14"/>
      <c r="KT97" s="14"/>
      <c r="KU97" s="14"/>
      <c r="KV97" s="14"/>
      <c r="KW97" s="14"/>
      <c r="KX97" s="14"/>
      <c r="KY97" s="14"/>
      <c r="KZ97" s="14"/>
      <c r="LA97" s="14"/>
      <c r="LB97" s="14"/>
      <c r="LC97" s="14"/>
      <c r="LD97" s="14"/>
      <c r="LE97" s="14"/>
      <c r="LF97" s="14"/>
      <c r="LG97" s="14"/>
      <c r="LH97" s="14"/>
      <c r="LI97" s="14"/>
      <c r="LJ97" s="14"/>
      <c r="LK97" s="14"/>
      <c r="LL97" s="14"/>
      <c r="LM97" s="14"/>
      <c r="LN97" s="14"/>
      <c r="LO97" s="14"/>
      <c r="LP97" s="14"/>
      <c r="LQ97" s="14"/>
      <c r="LR97" s="14"/>
      <c r="LS97" s="14"/>
      <c r="LT97" s="14"/>
      <c r="LU97" s="14"/>
      <c r="LV97" s="14"/>
      <c r="LW97" s="14"/>
      <c r="LX97" s="14"/>
      <c r="LY97" s="14"/>
      <c r="LZ97" s="14"/>
      <c r="MA97" s="14"/>
      <c r="MB97" s="14"/>
      <c r="MC97" s="14"/>
      <c r="MD97" s="14"/>
      <c r="ME97" s="14"/>
      <c r="MF97" s="14"/>
      <c r="MG97" s="14"/>
      <c r="MH97" s="14"/>
      <c r="MI97" s="14"/>
      <c r="MJ97" s="14"/>
      <c r="MK97" s="14"/>
      <c r="ML97" s="14"/>
      <c r="MM97" s="14"/>
      <c r="MN97" s="14"/>
      <c r="MO97" s="14"/>
      <c r="MP97" s="14"/>
      <c r="MQ97" s="14"/>
      <c r="MR97" s="14"/>
      <c r="MS97" s="14"/>
      <c r="MT97" s="14"/>
      <c r="MU97" s="14"/>
      <c r="MV97" s="14"/>
      <c r="MW97" s="14"/>
      <c r="MX97" s="14"/>
      <c r="MY97" s="14"/>
      <c r="MZ97" s="14"/>
      <c r="NA97" s="14"/>
      <c r="NB97" s="14"/>
      <c r="NC97" s="14"/>
      <c r="ND97" s="14"/>
      <c r="NE97" s="14"/>
      <c r="NF97" s="14"/>
      <c r="NG97" s="14"/>
      <c r="NH97" s="14"/>
      <c r="NI97" s="14"/>
      <c r="NJ97" s="14"/>
      <c r="NK97" s="14"/>
      <c r="NL97" s="14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</row>
    <row r="98" ht="13.5" customHeight="1">
      <c r="A98" s="2"/>
      <c r="B98" s="22"/>
      <c r="C98" s="2"/>
      <c r="D98" s="13"/>
      <c r="E98" s="3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4"/>
      <c r="EJ98" s="14"/>
      <c r="EK98" s="14"/>
      <c r="EL98" s="14"/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4"/>
      <c r="FJ98" s="14"/>
      <c r="FK98" s="14"/>
      <c r="FL98" s="14"/>
      <c r="FM98" s="14"/>
      <c r="FN98" s="14"/>
      <c r="FO98" s="14"/>
      <c r="FP98" s="14"/>
      <c r="FQ98" s="14"/>
      <c r="FR98" s="14"/>
      <c r="FS98" s="14"/>
      <c r="FT98" s="14"/>
      <c r="FU98" s="14"/>
      <c r="FV98" s="14"/>
      <c r="FW98" s="14"/>
      <c r="FX98" s="14"/>
      <c r="FY98" s="14"/>
      <c r="FZ98" s="14"/>
      <c r="GA98" s="14"/>
      <c r="GB98" s="14"/>
      <c r="GC98" s="14"/>
      <c r="GD98" s="14"/>
      <c r="GE98" s="14"/>
      <c r="GF98" s="14"/>
      <c r="GG98" s="14"/>
      <c r="GH98" s="14"/>
      <c r="GI98" s="14"/>
      <c r="GJ98" s="14"/>
      <c r="GK98" s="14"/>
      <c r="GL98" s="14"/>
      <c r="GM98" s="14"/>
      <c r="GN98" s="14"/>
      <c r="GO98" s="14"/>
      <c r="GP98" s="14"/>
      <c r="GQ98" s="14"/>
      <c r="GR98" s="14"/>
      <c r="GS98" s="14"/>
      <c r="GT98" s="14"/>
      <c r="GU98" s="14"/>
      <c r="GV98" s="14"/>
      <c r="GW98" s="14"/>
      <c r="GX98" s="14"/>
      <c r="GY98" s="14"/>
      <c r="GZ98" s="14"/>
      <c r="HA98" s="14"/>
      <c r="HB98" s="14"/>
      <c r="HC98" s="14"/>
      <c r="HD98" s="14"/>
      <c r="HE98" s="14"/>
      <c r="HF98" s="14"/>
      <c r="HG98" s="14"/>
      <c r="HH98" s="14"/>
      <c r="HI98" s="14"/>
      <c r="HJ98" s="14"/>
      <c r="HK98" s="14"/>
      <c r="HL98" s="14"/>
      <c r="HM98" s="14"/>
      <c r="HN98" s="14"/>
      <c r="HO98" s="14"/>
      <c r="HP98" s="14"/>
      <c r="HQ98" s="14"/>
      <c r="HR98" s="14"/>
      <c r="HS98" s="14"/>
      <c r="HT98" s="14"/>
      <c r="HU98" s="14"/>
      <c r="HV98" s="14"/>
      <c r="HW98" s="14"/>
      <c r="HX98" s="14"/>
      <c r="HY98" s="14"/>
      <c r="HZ98" s="14"/>
      <c r="IA98" s="14"/>
      <c r="IB98" s="14"/>
      <c r="IC98" s="14"/>
      <c r="ID98" s="14"/>
      <c r="IE98" s="14"/>
      <c r="IF98" s="14"/>
      <c r="IG98" s="14"/>
      <c r="IH98" s="14"/>
      <c r="II98" s="14"/>
      <c r="IJ98" s="14"/>
      <c r="IK98" s="14"/>
      <c r="IL98" s="14"/>
      <c r="IM98" s="14"/>
      <c r="IN98" s="14"/>
      <c r="IO98" s="14"/>
      <c r="IP98" s="14"/>
      <c r="IQ98" s="14"/>
      <c r="IR98" s="14"/>
      <c r="IS98" s="14"/>
      <c r="IT98" s="14"/>
      <c r="IU98" s="14"/>
      <c r="IV98" s="14"/>
      <c r="IW98" s="14"/>
      <c r="IX98" s="14"/>
      <c r="IY98" s="14"/>
      <c r="IZ98" s="14"/>
      <c r="JA98" s="14"/>
      <c r="JB98" s="14"/>
      <c r="JC98" s="14"/>
      <c r="JD98" s="14"/>
      <c r="JE98" s="14"/>
      <c r="JF98" s="14"/>
      <c r="JG98" s="14"/>
      <c r="JH98" s="14"/>
      <c r="JI98" s="14"/>
      <c r="JJ98" s="14"/>
      <c r="JK98" s="14"/>
      <c r="JL98" s="14"/>
      <c r="JM98" s="14"/>
      <c r="JN98" s="14"/>
      <c r="JO98" s="14"/>
      <c r="JP98" s="14"/>
      <c r="JQ98" s="14"/>
      <c r="JR98" s="14"/>
      <c r="JS98" s="14"/>
      <c r="JT98" s="14"/>
      <c r="JU98" s="14"/>
      <c r="JV98" s="14"/>
      <c r="JW98" s="14"/>
      <c r="JX98" s="14"/>
      <c r="JY98" s="14"/>
      <c r="JZ98" s="14"/>
      <c r="KA98" s="14"/>
      <c r="KB98" s="14"/>
      <c r="KC98" s="14"/>
      <c r="KD98" s="14"/>
      <c r="KE98" s="14"/>
      <c r="KF98" s="14"/>
      <c r="KG98" s="14"/>
      <c r="KH98" s="14"/>
      <c r="KI98" s="14"/>
      <c r="KJ98" s="14"/>
      <c r="KK98" s="14"/>
      <c r="KL98" s="14"/>
      <c r="KM98" s="14"/>
      <c r="KN98" s="14"/>
      <c r="KO98" s="14"/>
      <c r="KP98" s="14"/>
      <c r="KQ98" s="14"/>
      <c r="KR98" s="14"/>
      <c r="KS98" s="14"/>
      <c r="KT98" s="14"/>
      <c r="KU98" s="14"/>
      <c r="KV98" s="14"/>
      <c r="KW98" s="14"/>
      <c r="KX98" s="14"/>
      <c r="KY98" s="14"/>
      <c r="KZ98" s="14"/>
      <c r="LA98" s="14"/>
      <c r="LB98" s="14"/>
      <c r="LC98" s="14"/>
      <c r="LD98" s="14"/>
      <c r="LE98" s="14"/>
      <c r="LF98" s="14"/>
      <c r="LG98" s="14"/>
      <c r="LH98" s="14"/>
      <c r="LI98" s="14"/>
      <c r="LJ98" s="14"/>
      <c r="LK98" s="14"/>
      <c r="LL98" s="14"/>
      <c r="LM98" s="14"/>
      <c r="LN98" s="14"/>
      <c r="LO98" s="14"/>
      <c r="LP98" s="14"/>
      <c r="LQ98" s="14"/>
      <c r="LR98" s="14"/>
      <c r="LS98" s="14"/>
      <c r="LT98" s="14"/>
      <c r="LU98" s="14"/>
      <c r="LV98" s="14"/>
      <c r="LW98" s="14"/>
      <c r="LX98" s="14"/>
      <c r="LY98" s="14"/>
      <c r="LZ98" s="14"/>
      <c r="MA98" s="14"/>
      <c r="MB98" s="14"/>
      <c r="MC98" s="14"/>
      <c r="MD98" s="14"/>
      <c r="ME98" s="14"/>
      <c r="MF98" s="14"/>
      <c r="MG98" s="14"/>
      <c r="MH98" s="14"/>
      <c r="MI98" s="14"/>
      <c r="MJ98" s="14"/>
      <c r="MK98" s="14"/>
      <c r="ML98" s="14"/>
      <c r="MM98" s="14"/>
      <c r="MN98" s="14"/>
      <c r="MO98" s="14"/>
      <c r="MP98" s="14"/>
      <c r="MQ98" s="14"/>
      <c r="MR98" s="14"/>
      <c r="MS98" s="14"/>
      <c r="MT98" s="14"/>
      <c r="MU98" s="14"/>
      <c r="MV98" s="14"/>
      <c r="MW98" s="14"/>
      <c r="MX98" s="14"/>
      <c r="MY98" s="14"/>
      <c r="MZ98" s="14"/>
      <c r="NA98" s="14"/>
      <c r="NB98" s="14"/>
      <c r="NC98" s="14"/>
      <c r="ND98" s="14"/>
      <c r="NE98" s="14"/>
      <c r="NF98" s="14"/>
      <c r="NG98" s="14"/>
      <c r="NH98" s="14"/>
      <c r="NI98" s="14"/>
      <c r="NJ98" s="14"/>
      <c r="NK98" s="14"/>
      <c r="NL98" s="14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</row>
    <row r="99" ht="13.5" customHeight="1">
      <c r="A99" s="2"/>
      <c r="B99" s="22"/>
      <c r="C99" s="2"/>
      <c r="D99" s="13"/>
      <c r="E99" s="3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4"/>
      <c r="EJ99" s="14"/>
      <c r="EK99" s="14"/>
      <c r="EL99" s="14"/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4"/>
      <c r="FJ99" s="14"/>
      <c r="FK99" s="14"/>
      <c r="FL99" s="14"/>
      <c r="FM99" s="14"/>
      <c r="FN99" s="14"/>
      <c r="FO99" s="14"/>
      <c r="FP99" s="14"/>
      <c r="FQ99" s="14"/>
      <c r="FR99" s="14"/>
      <c r="FS99" s="14"/>
      <c r="FT99" s="14"/>
      <c r="FU99" s="14"/>
      <c r="FV99" s="14"/>
      <c r="FW99" s="14"/>
      <c r="FX99" s="14"/>
      <c r="FY99" s="14"/>
      <c r="FZ99" s="14"/>
      <c r="GA99" s="14"/>
      <c r="GB99" s="14"/>
      <c r="GC99" s="14"/>
      <c r="GD99" s="14"/>
      <c r="GE99" s="14"/>
      <c r="GF99" s="14"/>
      <c r="GG99" s="14"/>
      <c r="GH99" s="14"/>
      <c r="GI99" s="14"/>
      <c r="GJ99" s="14"/>
      <c r="GK99" s="14"/>
      <c r="GL99" s="14"/>
      <c r="GM99" s="14"/>
      <c r="GN99" s="14"/>
      <c r="GO99" s="14"/>
      <c r="GP99" s="14"/>
      <c r="GQ99" s="14"/>
      <c r="GR99" s="14"/>
      <c r="GS99" s="14"/>
      <c r="GT99" s="14"/>
      <c r="GU99" s="14"/>
      <c r="GV99" s="14"/>
      <c r="GW99" s="14"/>
      <c r="GX99" s="14"/>
      <c r="GY99" s="14"/>
      <c r="GZ99" s="14"/>
      <c r="HA99" s="14"/>
      <c r="HB99" s="14"/>
      <c r="HC99" s="14"/>
      <c r="HD99" s="14"/>
      <c r="HE99" s="14"/>
      <c r="HF99" s="14"/>
      <c r="HG99" s="14"/>
      <c r="HH99" s="14"/>
      <c r="HI99" s="14"/>
      <c r="HJ99" s="14"/>
      <c r="HK99" s="14"/>
      <c r="HL99" s="14"/>
      <c r="HM99" s="14"/>
      <c r="HN99" s="14"/>
      <c r="HO99" s="14"/>
      <c r="HP99" s="14"/>
      <c r="HQ99" s="14"/>
      <c r="HR99" s="14"/>
      <c r="HS99" s="14"/>
      <c r="HT99" s="14"/>
      <c r="HU99" s="14"/>
      <c r="HV99" s="14"/>
      <c r="HW99" s="14"/>
      <c r="HX99" s="14"/>
      <c r="HY99" s="14"/>
      <c r="HZ99" s="14"/>
      <c r="IA99" s="14"/>
      <c r="IB99" s="14"/>
      <c r="IC99" s="14"/>
      <c r="ID99" s="14"/>
      <c r="IE99" s="14"/>
      <c r="IF99" s="14"/>
      <c r="IG99" s="14"/>
      <c r="IH99" s="14"/>
      <c r="II99" s="14"/>
      <c r="IJ99" s="14"/>
      <c r="IK99" s="14"/>
      <c r="IL99" s="14"/>
      <c r="IM99" s="14"/>
      <c r="IN99" s="14"/>
      <c r="IO99" s="14"/>
      <c r="IP99" s="14"/>
      <c r="IQ99" s="14"/>
      <c r="IR99" s="14"/>
      <c r="IS99" s="14"/>
      <c r="IT99" s="14"/>
      <c r="IU99" s="14"/>
      <c r="IV99" s="14"/>
      <c r="IW99" s="14"/>
      <c r="IX99" s="14"/>
      <c r="IY99" s="14"/>
      <c r="IZ99" s="14"/>
      <c r="JA99" s="14"/>
      <c r="JB99" s="14"/>
      <c r="JC99" s="14"/>
      <c r="JD99" s="14"/>
      <c r="JE99" s="14"/>
      <c r="JF99" s="14"/>
      <c r="JG99" s="14"/>
      <c r="JH99" s="14"/>
      <c r="JI99" s="14"/>
      <c r="JJ99" s="14"/>
      <c r="JK99" s="14"/>
      <c r="JL99" s="14"/>
      <c r="JM99" s="14"/>
      <c r="JN99" s="14"/>
      <c r="JO99" s="14"/>
      <c r="JP99" s="14"/>
      <c r="JQ99" s="14"/>
      <c r="JR99" s="14"/>
      <c r="JS99" s="14"/>
      <c r="JT99" s="14"/>
      <c r="JU99" s="14"/>
      <c r="JV99" s="14"/>
      <c r="JW99" s="14"/>
      <c r="JX99" s="14"/>
      <c r="JY99" s="14"/>
      <c r="JZ99" s="14"/>
      <c r="KA99" s="14"/>
      <c r="KB99" s="14"/>
      <c r="KC99" s="14"/>
      <c r="KD99" s="14"/>
      <c r="KE99" s="14"/>
      <c r="KF99" s="14"/>
      <c r="KG99" s="14"/>
      <c r="KH99" s="14"/>
      <c r="KI99" s="14"/>
      <c r="KJ99" s="14"/>
      <c r="KK99" s="14"/>
      <c r="KL99" s="14"/>
      <c r="KM99" s="14"/>
      <c r="KN99" s="14"/>
      <c r="KO99" s="14"/>
      <c r="KP99" s="14"/>
      <c r="KQ99" s="14"/>
      <c r="KR99" s="14"/>
      <c r="KS99" s="14"/>
      <c r="KT99" s="14"/>
      <c r="KU99" s="14"/>
      <c r="KV99" s="14"/>
      <c r="KW99" s="14"/>
      <c r="KX99" s="14"/>
      <c r="KY99" s="14"/>
      <c r="KZ99" s="14"/>
      <c r="LA99" s="14"/>
      <c r="LB99" s="14"/>
      <c r="LC99" s="14"/>
      <c r="LD99" s="14"/>
      <c r="LE99" s="14"/>
      <c r="LF99" s="14"/>
      <c r="LG99" s="14"/>
      <c r="LH99" s="14"/>
      <c r="LI99" s="14"/>
      <c r="LJ99" s="14"/>
      <c r="LK99" s="14"/>
      <c r="LL99" s="14"/>
      <c r="LM99" s="14"/>
      <c r="LN99" s="14"/>
      <c r="LO99" s="14"/>
      <c r="LP99" s="14"/>
      <c r="LQ99" s="14"/>
      <c r="LR99" s="14"/>
      <c r="LS99" s="14"/>
      <c r="LT99" s="14"/>
      <c r="LU99" s="14"/>
      <c r="LV99" s="14"/>
      <c r="LW99" s="14"/>
      <c r="LX99" s="14"/>
      <c r="LY99" s="14"/>
      <c r="LZ99" s="14"/>
      <c r="MA99" s="14"/>
      <c r="MB99" s="14"/>
      <c r="MC99" s="14"/>
      <c r="MD99" s="14"/>
      <c r="ME99" s="14"/>
      <c r="MF99" s="14"/>
      <c r="MG99" s="14"/>
      <c r="MH99" s="14"/>
      <c r="MI99" s="14"/>
      <c r="MJ99" s="14"/>
      <c r="MK99" s="14"/>
      <c r="ML99" s="14"/>
      <c r="MM99" s="14"/>
      <c r="MN99" s="14"/>
      <c r="MO99" s="14"/>
      <c r="MP99" s="14"/>
      <c r="MQ99" s="14"/>
      <c r="MR99" s="14"/>
      <c r="MS99" s="14"/>
      <c r="MT99" s="14"/>
      <c r="MU99" s="14"/>
      <c r="MV99" s="14"/>
      <c r="MW99" s="14"/>
      <c r="MX99" s="14"/>
      <c r="MY99" s="14"/>
      <c r="MZ99" s="14"/>
      <c r="NA99" s="14"/>
      <c r="NB99" s="14"/>
      <c r="NC99" s="14"/>
      <c r="ND99" s="14"/>
      <c r="NE99" s="14"/>
      <c r="NF99" s="14"/>
      <c r="NG99" s="14"/>
      <c r="NH99" s="14"/>
      <c r="NI99" s="14"/>
      <c r="NJ99" s="14"/>
      <c r="NK99" s="14"/>
      <c r="NL99" s="14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</row>
    <row r="100" ht="13.5" customHeight="1">
      <c r="A100" s="2"/>
      <c r="B100" s="22"/>
      <c r="C100" s="2"/>
      <c r="D100" s="13"/>
      <c r="E100" s="3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  <c r="FO100" s="14"/>
      <c r="FP100" s="14"/>
      <c r="FQ100" s="14"/>
      <c r="FR100" s="14"/>
      <c r="FS100" s="14"/>
      <c r="FT100" s="14"/>
      <c r="FU100" s="14"/>
      <c r="FV100" s="14"/>
      <c r="FW100" s="14"/>
      <c r="FX100" s="14"/>
      <c r="FY100" s="14"/>
      <c r="FZ100" s="14"/>
      <c r="GA100" s="14"/>
      <c r="GB100" s="14"/>
      <c r="GC100" s="14"/>
      <c r="GD100" s="14"/>
      <c r="GE100" s="14"/>
      <c r="GF100" s="14"/>
      <c r="GG100" s="14"/>
      <c r="GH100" s="14"/>
      <c r="GI100" s="14"/>
      <c r="GJ100" s="14"/>
      <c r="GK100" s="14"/>
      <c r="GL100" s="14"/>
      <c r="GM100" s="14"/>
      <c r="GN100" s="14"/>
      <c r="GO100" s="14"/>
      <c r="GP100" s="14"/>
      <c r="GQ100" s="14"/>
      <c r="GR100" s="14"/>
      <c r="GS100" s="14"/>
      <c r="GT100" s="14"/>
      <c r="GU100" s="14"/>
      <c r="GV100" s="14"/>
      <c r="GW100" s="14"/>
      <c r="GX100" s="14"/>
      <c r="GY100" s="14"/>
      <c r="GZ100" s="14"/>
      <c r="HA100" s="14"/>
      <c r="HB100" s="14"/>
      <c r="HC100" s="14"/>
      <c r="HD100" s="14"/>
      <c r="HE100" s="14"/>
      <c r="HF100" s="14"/>
      <c r="HG100" s="14"/>
      <c r="HH100" s="14"/>
      <c r="HI100" s="14"/>
      <c r="HJ100" s="14"/>
      <c r="HK100" s="14"/>
      <c r="HL100" s="14"/>
      <c r="HM100" s="14"/>
      <c r="HN100" s="14"/>
      <c r="HO100" s="14"/>
      <c r="HP100" s="14"/>
      <c r="HQ100" s="14"/>
      <c r="HR100" s="14"/>
      <c r="HS100" s="14"/>
      <c r="HT100" s="14"/>
      <c r="HU100" s="14"/>
      <c r="HV100" s="14"/>
      <c r="HW100" s="14"/>
      <c r="HX100" s="14"/>
      <c r="HY100" s="14"/>
      <c r="HZ100" s="14"/>
      <c r="IA100" s="14"/>
      <c r="IB100" s="14"/>
      <c r="IC100" s="14"/>
      <c r="ID100" s="14"/>
      <c r="IE100" s="14"/>
      <c r="IF100" s="14"/>
      <c r="IG100" s="14"/>
      <c r="IH100" s="14"/>
      <c r="II100" s="14"/>
      <c r="IJ100" s="14"/>
      <c r="IK100" s="14"/>
      <c r="IL100" s="14"/>
      <c r="IM100" s="14"/>
      <c r="IN100" s="14"/>
      <c r="IO100" s="14"/>
      <c r="IP100" s="14"/>
      <c r="IQ100" s="14"/>
      <c r="IR100" s="14"/>
      <c r="IS100" s="14"/>
      <c r="IT100" s="14"/>
      <c r="IU100" s="14"/>
      <c r="IV100" s="14"/>
      <c r="IW100" s="14"/>
      <c r="IX100" s="14"/>
      <c r="IY100" s="14"/>
      <c r="IZ100" s="14"/>
      <c r="JA100" s="14"/>
      <c r="JB100" s="14"/>
      <c r="JC100" s="14"/>
      <c r="JD100" s="14"/>
      <c r="JE100" s="14"/>
      <c r="JF100" s="14"/>
      <c r="JG100" s="14"/>
      <c r="JH100" s="14"/>
      <c r="JI100" s="14"/>
      <c r="JJ100" s="14"/>
      <c r="JK100" s="14"/>
      <c r="JL100" s="14"/>
      <c r="JM100" s="14"/>
      <c r="JN100" s="14"/>
      <c r="JO100" s="14"/>
      <c r="JP100" s="14"/>
      <c r="JQ100" s="14"/>
      <c r="JR100" s="14"/>
      <c r="JS100" s="14"/>
      <c r="JT100" s="14"/>
      <c r="JU100" s="14"/>
      <c r="JV100" s="14"/>
      <c r="JW100" s="14"/>
      <c r="JX100" s="14"/>
      <c r="JY100" s="14"/>
      <c r="JZ100" s="14"/>
      <c r="KA100" s="14"/>
      <c r="KB100" s="14"/>
      <c r="KC100" s="14"/>
      <c r="KD100" s="14"/>
      <c r="KE100" s="14"/>
      <c r="KF100" s="14"/>
      <c r="KG100" s="14"/>
      <c r="KH100" s="14"/>
      <c r="KI100" s="14"/>
      <c r="KJ100" s="14"/>
      <c r="KK100" s="14"/>
      <c r="KL100" s="14"/>
      <c r="KM100" s="14"/>
      <c r="KN100" s="14"/>
      <c r="KO100" s="14"/>
      <c r="KP100" s="14"/>
      <c r="KQ100" s="14"/>
      <c r="KR100" s="14"/>
      <c r="KS100" s="14"/>
      <c r="KT100" s="14"/>
      <c r="KU100" s="14"/>
      <c r="KV100" s="14"/>
      <c r="KW100" s="14"/>
      <c r="KX100" s="14"/>
      <c r="KY100" s="14"/>
      <c r="KZ100" s="14"/>
      <c r="LA100" s="14"/>
      <c r="LB100" s="14"/>
      <c r="LC100" s="14"/>
      <c r="LD100" s="14"/>
      <c r="LE100" s="14"/>
      <c r="LF100" s="14"/>
      <c r="LG100" s="14"/>
      <c r="LH100" s="14"/>
      <c r="LI100" s="14"/>
      <c r="LJ100" s="14"/>
      <c r="LK100" s="14"/>
      <c r="LL100" s="14"/>
      <c r="LM100" s="14"/>
      <c r="LN100" s="14"/>
      <c r="LO100" s="14"/>
      <c r="LP100" s="14"/>
      <c r="LQ100" s="14"/>
      <c r="LR100" s="14"/>
      <c r="LS100" s="14"/>
      <c r="LT100" s="14"/>
      <c r="LU100" s="14"/>
      <c r="LV100" s="14"/>
      <c r="LW100" s="14"/>
      <c r="LX100" s="14"/>
      <c r="LY100" s="14"/>
      <c r="LZ100" s="14"/>
      <c r="MA100" s="14"/>
      <c r="MB100" s="14"/>
      <c r="MC100" s="14"/>
      <c r="MD100" s="14"/>
      <c r="ME100" s="14"/>
      <c r="MF100" s="14"/>
      <c r="MG100" s="14"/>
      <c r="MH100" s="14"/>
      <c r="MI100" s="14"/>
      <c r="MJ100" s="14"/>
      <c r="MK100" s="14"/>
      <c r="ML100" s="14"/>
      <c r="MM100" s="14"/>
      <c r="MN100" s="14"/>
      <c r="MO100" s="14"/>
      <c r="MP100" s="14"/>
      <c r="MQ100" s="14"/>
      <c r="MR100" s="14"/>
      <c r="MS100" s="14"/>
      <c r="MT100" s="14"/>
      <c r="MU100" s="14"/>
      <c r="MV100" s="14"/>
      <c r="MW100" s="14"/>
      <c r="MX100" s="14"/>
      <c r="MY100" s="14"/>
      <c r="MZ100" s="14"/>
      <c r="NA100" s="14"/>
      <c r="NB100" s="14"/>
      <c r="NC100" s="14"/>
      <c r="ND100" s="14"/>
      <c r="NE100" s="14"/>
      <c r="NF100" s="14"/>
      <c r="NG100" s="14"/>
      <c r="NH100" s="14"/>
      <c r="NI100" s="14"/>
      <c r="NJ100" s="14"/>
      <c r="NK100" s="14"/>
      <c r="NL100" s="14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</row>
    <row r="101" ht="13.5" customHeight="1">
      <c r="A101" s="2"/>
      <c r="B101" s="22"/>
      <c r="C101" s="2"/>
      <c r="D101" s="13"/>
      <c r="E101" s="3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  <c r="FL101" s="14"/>
      <c r="FM101" s="14"/>
      <c r="FN101" s="14"/>
      <c r="FO101" s="14"/>
      <c r="FP101" s="14"/>
      <c r="FQ101" s="14"/>
      <c r="FR101" s="14"/>
      <c r="FS101" s="14"/>
      <c r="FT101" s="14"/>
      <c r="FU101" s="14"/>
      <c r="FV101" s="14"/>
      <c r="FW101" s="14"/>
      <c r="FX101" s="14"/>
      <c r="FY101" s="14"/>
      <c r="FZ101" s="14"/>
      <c r="GA101" s="14"/>
      <c r="GB101" s="14"/>
      <c r="GC101" s="14"/>
      <c r="GD101" s="14"/>
      <c r="GE101" s="14"/>
      <c r="GF101" s="14"/>
      <c r="GG101" s="14"/>
      <c r="GH101" s="14"/>
      <c r="GI101" s="14"/>
      <c r="GJ101" s="14"/>
      <c r="GK101" s="14"/>
      <c r="GL101" s="14"/>
      <c r="GM101" s="14"/>
      <c r="GN101" s="14"/>
      <c r="GO101" s="14"/>
      <c r="GP101" s="14"/>
      <c r="GQ101" s="14"/>
      <c r="GR101" s="14"/>
      <c r="GS101" s="14"/>
      <c r="GT101" s="14"/>
      <c r="GU101" s="14"/>
      <c r="GV101" s="14"/>
      <c r="GW101" s="14"/>
      <c r="GX101" s="14"/>
      <c r="GY101" s="14"/>
      <c r="GZ101" s="14"/>
      <c r="HA101" s="14"/>
      <c r="HB101" s="14"/>
      <c r="HC101" s="14"/>
      <c r="HD101" s="14"/>
      <c r="HE101" s="14"/>
      <c r="HF101" s="14"/>
      <c r="HG101" s="14"/>
      <c r="HH101" s="14"/>
      <c r="HI101" s="14"/>
      <c r="HJ101" s="14"/>
      <c r="HK101" s="14"/>
      <c r="HL101" s="14"/>
      <c r="HM101" s="14"/>
      <c r="HN101" s="14"/>
      <c r="HO101" s="14"/>
      <c r="HP101" s="14"/>
      <c r="HQ101" s="14"/>
      <c r="HR101" s="14"/>
      <c r="HS101" s="14"/>
      <c r="HT101" s="14"/>
      <c r="HU101" s="14"/>
      <c r="HV101" s="14"/>
      <c r="HW101" s="14"/>
      <c r="HX101" s="14"/>
      <c r="HY101" s="14"/>
      <c r="HZ101" s="14"/>
      <c r="IA101" s="14"/>
      <c r="IB101" s="14"/>
      <c r="IC101" s="14"/>
      <c r="ID101" s="14"/>
      <c r="IE101" s="14"/>
      <c r="IF101" s="14"/>
      <c r="IG101" s="14"/>
      <c r="IH101" s="14"/>
      <c r="II101" s="14"/>
      <c r="IJ101" s="14"/>
      <c r="IK101" s="14"/>
      <c r="IL101" s="14"/>
      <c r="IM101" s="14"/>
      <c r="IN101" s="14"/>
      <c r="IO101" s="14"/>
      <c r="IP101" s="14"/>
      <c r="IQ101" s="14"/>
      <c r="IR101" s="14"/>
      <c r="IS101" s="14"/>
      <c r="IT101" s="14"/>
      <c r="IU101" s="14"/>
      <c r="IV101" s="14"/>
      <c r="IW101" s="14"/>
      <c r="IX101" s="14"/>
      <c r="IY101" s="14"/>
      <c r="IZ101" s="14"/>
      <c r="JA101" s="14"/>
      <c r="JB101" s="14"/>
      <c r="JC101" s="14"/>
      <c r="JD101" s="14"/>
      <c r="JE101" s="14"/>
      <c r="JF101" s="14"/>
      <c r="JG101" s="14"/>
      <c r="JH101" s="14"/>
      <c r="JI101" s="14"/>
      <c r="JJ101" s="14"/>
      <c r="JK101" s="14"/>
      <c r="JL101" s="14"/>
      <c r="JM101" s="14"/>
      <c r="JN101" s="14"/>
      <c r="JO101" s="14"/>
      <c r="JP101" s="14"/>
      <c r="JQ101" s="14"/>
      <c r="JR101" s="14"/>
      <c r="JS101" s="14"/>
      <c r="JT101" s="14"/>
      <c r="JU101" s="14"/>
      <c r="JV101" s="14"/>
      <c r="JW101" s="14"/>
      <c r="JX101" s="14"/>
      <c r="JY101" s="14"/>
      <c r="JZ101" s="14"/>
      <c r="KA101" s="14"/>
      <c r="KB101" s="14"/>
      <c r="KC101" s="14"/>
      <c r="KD101" s="14"/>
      <c r="KE101" s="14"/>
      <c r="KF101" s="14"/>
      <c r="KG101" s="14"/>
      <c r="KH101" s="14"/>
      <c r="KI101" s="14"/>
      <c r="KJ101" s="14"/>
      <c r="KK101" s="14"/>
      <c r="KL101" s="14"/>
      <c r="KM101" s="14"/>
      <c r="KN101" s="14"/>
      <c r="KO101" s="14"/>
      <c r="KP101" s="14"/>
      <c r="KQ101" s="14"/>
      <c r="KR101" s="14"/>
      <c r="KS101" s="14"/>
      <c r="KT101" s="14"/>
      <c r="KU101" s="14"/>
      <c r="KV101" s="14"/>
      <c r="KW101" s="14"/>
      <c r="KX101" s="14"/>
      <c r="KY101" s="14"/>
      <c r="KZ101" s="14"/>
      <c r="LA101" s="14"/>
      <c r="LB101" s="14"/>
      <c r="LC101" s="14"/>
      <c r="LD101" s="14"/>
      <c r="LE101" s="14"/>
      <c r="LF101" s="14"/>
      <c r="LG101" s="14"/>
      <c r="LH101" s="14"/>
      <c r="LI101" s="14"/>
      <c r="LJ101" s="14"/>
      <c r="LK101" s="14"/>
      <c r="LL101" s="14"/>
      <c r="LM101" s="14"/>
      <c r="LN101" s="14"/>
      <c r="LO101" s="14"/>
      <c r="LP101" s="14"/>
      <c r="LQ101" s="14"/>
      <c r="LR101" s="14"/>
      <c r="LS101" s="14"/>
      <c r="LT101" s="14"/>
      <c r="LU101" s="14"/>
      <c r="LV101" s="14"/>
      <c r="LW101" s="14"/>
      <c r="LX101" s="14"/>
      <c r="LY101" s="14"/>
      <c r="LZ101" s="14"/>
      <c r="MA101" s="14"/>
      <c r="MB101" s="14"/>
      <c r="MC101" s="14"/>
      <c r="MD101" s="14"/>
      <c r="ME101" s="14"/>
      <c r="MF101" s="14"/>
      <c r="MG101" s="14"/>
      <c r="MH101" s="14"/>
      <c r="MI101" s="14"/>
      <c r="MJ101" s="14"/>
      <c r="MK101" s="14"/>
      <c r="ML101" s="14"/>
      <c r="MM101" s="14"/>
      <c r="MN101" s="14"/>
      <c r="MO101" s="14"/>
      <c r="MP101" s="14"/>
      <c r="MQ101" s="14"/>
      <c r="MR101" s="14"/>
      <c r="MS101" s="14"/>
      <c r="MT101" s="14"/>
      <c r="MU101" s="14"/>
      <c r="MV101" s="14"/>
      <c r="MW101" s="14"/>
      <c r="MX101" s="14"/>
      <c r="MY101" s="14"/>
      <c r="MZ101" s="14"/>
      <c r="NA101" s="14"/>
      <c r="NB101" s="14"/>
      <c r="NC101" s="14"/>
      <c r="ND101" s="14"/>
      <c r="NE101" s="14"/>
      <c r="NF101" s="14"/>
      <c r="NG101" s="14"/>
      <c r="NH101" s="14"/>
      <c r="NI101" s="14"/>
      <c r="NJ101" s="14"/>
      <c r="NK101" s="14"/>
      <c r="NL101" s="14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</row>
    <row r="102" ht="13.5" customHeight="1">
      <c r="A102" s="2"/>
      <c r="B102" s="22"/>
      <c r="C102" s="2"/>
      <c r="D102" s="13"/>
      <c r="E102" s="3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  <c r="IX102" s="14"/>
      <c r="IY102" s="14"/>
      <c r="IZ102" s="14"/>
      <c r="JA102" s="14"/>
      <c r="JB102" s="14"/>
      <c r="JC102" s="14"/>
      <c r="JD102" s="14"/>
      <c r="JE102" s="14"/>
      <c r="JF102" s="14"/>
      <c r="JG102" s="14"/>
      <c r="JH102" s="14"/>
      <c r="JI102" s="14"/>
      <c r="JJ102" s="14"/>
      <c r="JK102" s="14"/>
      <c r="JL102" s="14"/>
      <c r="JM102" s="14"/>
      <c r="JN102" s="14"/>
      <c r="JO102" s="14"/>
      <c r="JP102" s="14"/>
      <c r="JQ102" s="14"/>
      <c r="JR102" s="14"/>
      <c r="JS102" s="14"/>
      <c r="JT102" s="14"/>
      <c r="JU102" s="14"/>
      <c r="JV102" s="14"/>
      <c r="JW102" s="14"/>
      <c r="JX102" s="14"/>
      <c r="JY102" s="14"/>
      <c r="JZ102" s="14"/>
      <c r="KA102" s="14"/>
      <c r="KB102" s="14"/>
      <c r="KC102" s="14"/>
      <c r="KD102" s="14"/>
      <c r="KE102" s="14"/>
      <c r="KF102" s="14"/>
      <c r="KG102" s="14"/>
      <c r="KH102" s="14"/>
      <c r="KI102" s="14"/>
      <c r="KJ102" s="14"/>
      <c r="KK102" s="14"/>
      <c r="KL102" s="14"/>
      <c r="KM102" s="14"/>
      <c r="KN102" s="14"/>
      <c r="KO102" s="14"/>
      <c r="KP102" s="14"/>
      <c r="KQ102" s="14"/>
      <c r="KR102" s="14"/>
      <c r="KS102" s="14"/>
      <c r="KT102" s="14"/>
      <c r="KU102" s="14"/>
      <c r="KV102" s="14"/>
      <c r="KW102" s="14"/>
      <c r="KX102" s="14"/>
      <c r="KY102" s="14"/>
      <c r="KZ102" s="14"/>
      <c r="LA102" s="14"/>
      <c r="LB102" s="14"/>
      <c r="LC102" s="14"/>
      <c r="LD102" s="14"/>
      <c r="LE102" s="14"/>
      <c r="LF102" s="14"/>
      <c r="LG102" s="14"/>
      <c r="LH102" s="14"/>
      <c r="LI102" s="14"/>
      <c r="LJ102" s="14"/>
      <c r="LK102" s="14"/>
      <c r="LL102" s="14"/>
      <c r="LM102" s="14"/>
      <c r="LN102" s="14"/>
      <c r="LO102" s="14"/>
      <c r="LP102" s="14"/>
      <c r="LQ102" s="14"/>
      <c r="LR102" s="14"/>
      <c r="LS102" s="14"/>
      <c r="LT102" s="14"/>
      <c r="LU102" s="14"/>
      <c r="LV102" s="14"/>
      <c r="LW102" s="14"/>
      <c r="LX102" s="14"/>
      <c r="LY102" s="14"/>
      <c r="LZ102" s="14"/>
      <c r="MA102" s="14"/>
      <c r="MB102" s="14"/>
      <c r="MC102" s="14"/>
      <c r="MD102" s="14"/>
      <c r="ME102" s="14"/>
      <c r="MF102" s="14"/>
      <c r="MG102" s="14"/>
      <c r="MH102" s="14"/>
      <c r="MI102" s="14"/>
      <c r="MJ102" s="14"/>
      <c r="MK102" s="14"/>
      <c r="ML102" s="14"/>
      <c r="MM102" s="14"/>
      <c r="MN102" s="14"/>
      <c r="MO102" s="14"/>
      <c r="MP102" s="14"/>
      <c r="MQ102" s="14"/>
      <c r="MR102" s="14"/>
      <c r="MS102" s="14"/>
      <c r="MT102" s="14"/>
      <c r="MU102" s="14"/>
      <c r="MV102" s="14"/>
      <c r="MW102" s="14"/>
      <c r="MX102" s="14"/>
      <c r="MY102" s="14"/>
      <c r="MZ102" s="14"/>
      <c r="NA102" s="14"/>
      <c r="NB102" s="14"/>
      <c r="NC102" s="14"/>
      <c r="ND102" s="14"/>
      <c r="NE102" s="14"/>
      <c r="NF102" s="14"/>
      <c r="NG102" s="14"/>
      <c r="NH102" s="14"/>
      <c r="NI102" s="14"/>
      <c r="NJ102" s="14"/>
      <c r="NK102" s="14"/>
      <c r="NL102" s="14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</row>
    <row r="103" ht="13.5" customHeight="1">
      <c r="A103" s="2"/>
      <c r="B103" s="22"/>
      <c r="C103" s="2"/>
      <c r="D103" s="13"/>
      <c r="E103" s="3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4"/>
      <c r="HM103" s="14"/>
      <c r="HN103" s="14"/>
      <c r="HO103" s="14"/>
      <c r="HP103" s="14"/>
      <c r="HQ103" s="14"/>
      <c r="HR103" s="14"/>
      <c r="HS103" s="14"/>
      <c r="HT103" s="14"/>
      <c r="HU103" s="14"/>
      <c r="HV103" s="14"/>
      <c r="HW103" s="14"/>
      <c r="HX103" s="14"/>
      <c r="HY103" s="1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4"/>
      <c r="IM103" s="14"/>
      <c r="IN103" s="14"/>
      <c r="IO103" s="14"/>
      <c r="IP103" s="14"/>
      <c r="IQ103" s="14"/>
      <c r="IR103" s="14"/>
      <c r="IS103" s="14"/>
      <c r="IT103" s="14"/>
      <c r="IU103" s="14"/>
      <c r="IV103" s="14"/>
      <c r="IW103" s="14"/>
      <c r="IX103" s="14"/>
      <c r="IY103" s="14"/>
      <c r="IZ103" s="14"/>
      <c r="JA103" s="14"/>
      <c r="JB103" s="14"/>
      <c r="JC103" s="14"/>
      <c r="JD103" s="14"/>
      <c r="JE103" s="14"/>
      <c r="JF103" s="14"/>
      <c r="JG103" s="14"/>
      <c r="JH103" s="14"/>
      <c r="JI103" s="14"/>
      <c r="JJ103" s="14"/>
      <c r="JK103" s="14"/>
      <c r="JL103" s="14"/>
      <c r="JM103" s="14"/>
      <c r="JN103" s="14"/>
      <c r="JO103" s="14"/>
      <c r="JP103" s="14"/>
      <c r="JQ103" s="14"/>
      <c r="JR103" s="14"/>
      <c r="JS103" s="14"/>
      <c r="JT103" s="14"/>
      <c r="JU103" s="14"/>
      <c r="JV103" s="14"/>
      <c r="JW103" s="14"/>
      <c r="JX103" s="14"/>
      <c r="JY103" s="14"/>
      <c r="JZ103" s="14"/>
      <c r="KA103" s="14"/>
      <c r="KB103" s="14"/>
      <c r="KC103" s="14"/>
      <c r="KD103" s="14"/>
      <c r="KE103" s="14"/>
      <c r="KF103" s="14"/>
      <c r="KG103" s="14"/>
      <c r="KH103" s="14"/>
      <c r="KI103" s="14"/>
      <c r="KJ103" s="14"/>
      <c r="KK103" s="14"/>
      <c r="KL103" s="14"/>
      <c r="KM103" s="14"/>
      <c r="KN103" s="14"/>
      <c r="KO103" s="14"/>
      <c r="KP103" s="14"/>
      <c r="KQ103" s="14"/>
      <c r="KR103" s="14"/>
      <c r="KS103" s="14"/>
      <c r="KT103" s="14"/>
      <c r="KU103" s="14"/>
      <c r="KV103" s="14"/>
      <c r="KW103" s="14"/>
      <c r="KX103" s="14"/>
      <c r="KY103" s="14"/>
      <c r="KZ103" s="14"/>
      <c r="LA103" s="14"/>
      <c r="LB103" s="14"/>
      <c r="LC103" s="14"/>
      <c r="LD103" s="14"/>
      <c r="LE103" s="14"/>
      <c r="LF103" s="14"/>
      <c r="LG103" s="14"/>
      <c r="LH103" s="14"/>
      <c r="LI103" s="14"/>
      <c r="LJ103" s="14"/>
      <c r="LK103" s="14"/>
      <c r="LL103" s="14"/>
      <c r="LM103" s="14"/>
      <c r="LN103" s="14"/>
      <c r="LO103" s="14"/>
      <c r="LP103" s="14"/>
      <c r="LQ103" s="14"/>
      <c r="LR103" s="14"/>
      <c r="LS103" s="14"/>
      <c r="LT103" s="14"/>
      <c r="LU103" s="14"/>
      <c r="LV103" s="14"/>
      <c r="LW103" s="14"/>
      <c r="LX103" s="14"/>
      <c r="LY103" s="14"/>
      <c r="LZ103" s="14"/>
      <c r="MA103" s="14"/>
      <c r="MB103" s="14"/>
      <c r="MC103" s="14"/>
      <c r="MD103" s="14"/>
      <c r="ME103" s="14"/>
      <c r="MF103" s="14"/>
      <c r="MG103" s="14"/>
      <c r="MH103" s="14"/>
      <c r="MI103" s="14"/>
      <c r="MJ103" s="14"/>
      <c r="MK103" s="14"/>
      <c r="ML103" s="14"/>
      <c r="MM103" s="14"/>
      <c r="MN103" s="14"/>
      <c r="MO103" s="14"/>
      <c r="MP103" s="14"/>
      <c r="MQ103" s="14"/>
      <c r="MR103" s="14"/>
      <c r="MS103" s="14"/>
      <c r="MT103" s="14"/>
      <c r="MU103" s="14"/>
      <c r="MV103" s="14"/>
      <c r="MW103" s="14"/>
      <c r="MX103" s="14"/>
      <c r="MY103" s="14"/>
      <c r="MZ103" s="14"/>
      <c r="NA103" s="14"/>
      <c r="NB103" s="14"/>
      <c r="NC103" s="14"/>
      <c r="ND103" s="14"/>
      <c r="NE103" s="14"/>
      <c r="NF103" s="14"/>
      <c r="NG103" s="14"/>
      <c r="NH103" s="14"/>
      <c r="NI103" s="14"/>
      <c r="NJ103" s="14"/>
      <c r="NK103" s="14"/>
      <c r="NL103" s="14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</row>
    <row r="104" ht="13.5" customHeight="1">
      <c r="A104" s="2"/>
      <c r="B104" s="22"/>
      <c r="C104" s="2"/>
      <c r="D104" s="13"/>
      <c r="E104" s="3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14"/>
      <c r="FU104" s="14"/>
      <c r="FV104" s="14"/>
      <c r="FW104" s="14"/>
      <c r="FX104" s="14"/>
      <c r="FY104" s="14"/>
      <c r="FZ104" s="14"/>
      <c r="GA104" s="14"/>
      <c r="GB104" s="14"/>
      <c r="GC104" s="14"/>
      <c r="GD104" s="14"/>
      <c r="GE104" s="14"/>
      <c r="GF104" s="14"/>
      <c r="GG104" s="14"/>
      <c r="GH104" s="14"/>
      <c r="GI104" s="14"/>
      <c r="GJ104" s="14"/>
      <c r="GK104" s="14"/>
      <c r="GL104" s="14"/>
      <c r="GM104" s="14"/>
      <c r="GN104" s="14"/>
      <c r="GO104" s="14"/>
      <c r="GP104" s="14"/>
      <c r="GQ104" s="14"/>
      <c r="GR104" s="14"/>
      <c r="GS104" s="14"/>
      <c r="GT104" s="14"/>
      <c r="GU104" s="14"/>
      <c r="GV104" s="14"/>
      <c r="GW104" s="14"/>
      <c r="GX104" s="14"/>
      <c r="GY104" s="14"/>
      <c r="GZ104" s="14"/>
      <c r="HA104" s="14"/>
      <c r="HB104" s="14"/>
      <c r="HC104" s="14"/>
      <c r="HD104" s="14"/>
      <c r="HE104" s="14"/>
      <c r="HF104" s="14"/>
      <c r="HG104" s="14"/>
      <c r="HH104" s="14"/>
      <c r="HI104" s="14"/>
      <c r="HJ104" s="14"/>
      <c r="HK104" s="14"/>
      <c r="HL104" s="14"/>
      <c r="HM104" s="14"/>
      <c r="HN104" s="14"/>
      <c r="HO104" s="14"/>
      <c r="HP104" s="14"/>
      <c r="HQ104" s="14"/>
      <c r="HR104" s="14"/>
      <c r="HS104" s="14"/>
      <c r="HT104" s="14"/>
      <c r="HU104" s="14"/>
      <c r="HV104" s="14"/>
      <c r="HW104" s="14"/>
      <c r="HX104" s="14"/>
      <c r="HY104" s="14"/>
      <c r="HZ104" s="14"/>
      <c r="IA104" s="14"/>
      <c r="IB104" s="14"/>
      <c r="IC104" s="14"/>
      <c r="ID104" s="14"/>
      <c r="IE104" s="14"/>
      <c r="IF104" s="14"/>
      <c r="IG104" s="14"/>
      <c r="IH104" s="14"/>
      <c r="II104" s="14"/>
      <c r="IJ104" s="14"/>
      <c r="IK104" s="14"/>
      <c r="IL104" s="14"/>
      <c r="IM104" s="14"/>
      <c r="IN104" s="14"/>
      <c r="IO104" s="14"/>
      <c r="IP104" s="14"/>
      <c r="IQ104" s="14"/>
      <c r="IR104" s="14"/>
      <c r="IS104" s="14"/>
      <c r="IT104" s="14"/>
      <c r="IU104" s="14"/>
      <c r="IV104" s="14"/>
      <c r="IW104" s="14"/>
      <c r="IX104" s="14"/>
      <c r="IY104" s="14"/>
      <c r="IZ104" s="14"/>
      <c r="JA104" s="14"/>
      <c r="JB104" s="14"/>
      <c r="JC104" s="14"/>
      <c r="JD104" s="14"/>
      <c r="JE104" s="14"/>
      <c r="JF104" s="14"/>
      <c r="JG104" s="14"/>
      <c r="JH104" s="14"/>
      <c r="JI104" s="14"/>
      <c r="JJ104" s="14"/>
      <c r="JK104" s="14"/>
      <c r="JL104" s="14"/>
      <c r="JM104" s="14"/>
      <c r="JN104" s="14"/>
      <c r="JO104" s="14"/>
      <c r="JP104" s="14"/>
      <c r="JQ104" s="14"/>
      <c r="JR104" s="14"/>
      <c r="JS104" s="14"/>
      <c r="JT104" s="14"/>
      <c r="JU104" s="14"/>
      <c r="JV104" s="14"/>
      <c r="JW104" s="14"/>
      <c r="JX104" s="14"/>
      <c r="JY104" s="14"/>
      <c r="JZ104" s="14"/>
      <c r="KA104" s="14"/>
      <c r="KB104" s="14"/>
      <c r="KC104" s="14"/>
      <c r="KD104" s="14"/>
      <c r="KE104" s="14"/>
      <c r="KF104" s="14"/>
      <c r="KG104" s="14"/>
      <c r="KH104" s="14"/>
      <c r="KI104" s="14"/>
      <c r="KJ104" s="14"/>
      <c r="KK104" s="14"/>
      <c r="KL104" s="14"/>
      <c r="KM104" s="14"/>
      <c r="KN104" s="14"/>
      <c r="KO104" s="14"/>
      <c r="KP104" s="14"/>
      <c r="KQ104" s="14"/>
      <c r="KR104" s="14"/>
      <c r="KS104" s="14"/>
      <c r="KT104" s="14"/>
      <c r="KU104" s="14"/>
      <c r="KV104" s="14"/>
      <c r="KW104" s="14"/>
      <c r="KX104" s="14"/>
      <c r="KY104" s="14"/>
      <c r="KZ104" s="14"/>
      <c r="LA104" s="14"/>
      <c r="LB104" s="14"/>
      <c r="LC104" s="14"/>
      <c r="LD104" s="14"/>
      <c r="LE104" s="14"/>
      <c r="LF104" s="14"/>
      <c r="LG104" s="14"/>
      <c r="LH104" s="14"/>
      <c r="LI104" s="14"/>
      <c r="LJ104" s="14"/>
      <c r="LK104" s="14"/>
      <c r="LL104" s="14"/>
      <c r="LM104" s="14"/>
      <c r="LN104" s="14"/>
      <c r="LO104" s="14"/>
      <c r="LP104" s="14"/>
      <c r="LQ104" s="14"/>
      <c r="LR104" s="14"/>
      <c r="LS104" s="14"/>
      <c r="LT104" s="14"/>
      <c r="LU104" s="14"/>
      <c r="LV104" s="14"/>
      <c r="LW104" s="14"/>
      <c r="LX104" s="14"/>
      <c r="LY104" s="14"/>
      <c r="LZ104" s="14"/>
      <c r="MA104" s="14"/>
      <c r="MB104" s="14"/>
      <c r="MC104" s="14"/>
      <c r="MD104" s="14"/>
      <c r="ME104" s="14"/>
      <c r="MF104" s="14"/>
      <c r="MG104" s="14"/>
      <c r="MH104" s="14"/>
      <c r="MI104" s="14"/>
      <c r="MJ104" s="14"/>
      <c r="MK104" s="14"/>
      <c r="ML104" s="14"/>
      <c r="MM104" s="14"/>
      <c r="MN104" s="14"/>
      <c r="MO104" s="14"/>
      <c r="MP104" s="14"/>
      <c r="MQ104" s="14"/>
      <c r="MR104" s="14"/>
      <c r="MS104" s="14"/>
      <c r="MT104" s="14"/>
      <c r="MU104" s="14"/>
      <c r="MV104" s="14"/>
      <c r="MW104" s="14"/>
      <c r="MX104" s="14"/>
      <c r="MY104" s="14"/>
      <c r="MZ104" s="14"/>
      <c r="NA104" s="14"/>
      <c r="NB104" s="14"/>
      <c r="NC104" s="14"/>
      <c r="ND104" s="14"/>
      <c r="NE104" s="14"/>
      <c r="NF104" s="14"/>
      <c r="NG104" s="14"/>
      <c r="NH104" s="14"/>
      <c r="NI104" s="14"/>
      <c r="NJ104" s="14"/>
      <c r="NK104" s="14"/>
      <c r="NL104" s="14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</row>
    <row r="105" ht="13.5" customHeight="1">
      <c r="A105" s="2"/>
      <c r="B105" s="22"/>
      <c r="C105" s="2"/>
      <c r="D105" s="13"/>
      <c r="E105" s="3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14"/>
      <c r="FU105" s="14"/>
      <c r="FV105" s="14"/>
      <c r="FW105" s="14"/>
      <c r="FX105" s="14"/>
      <c r="FY105" s="14"/>
      <c r="FZ105" s="14"/>
      <c r="GA105" s="14"/>
      <c r="GB105" s="14"/>
      <c r="GC105" s="14"/>
      <c r="GD105" s="14"/>
      <c r="GE105" s="14"/>
      <c r="GF105" s="14"/>
      <c r="GG105" s="14"/>
      <c r="GH105" s="14"/>
      <c r="GI105" s="14"/>
      <c r="GJ105" s="14"/>
      <c r="GK105" s="14"/>
      <c r="GL105" s="14"/>
      <c r="GM105" s="14"/>
      <c r="GN105" s="14"/>
      <c r="GO105" s="14"/>
      <c r="GP105" s="14"/>
      <c r="GQ105" s="14"/>
      <c r="GR105" s="14"/>
      <c r="GS105" s="14"/>
      <c r="GT105" s="14"/>
      <c r="GU105" s="14"/>
      <c r="GV105" s="14"/>
      <c r="GW105" s="14"/>
      <c r="GX105" s="14"/>
      <c r="GY105" s="14"/>
      <c r="GZ105" s="14"/>
      <c r="HA105" s="14"/>
      <c r="HB105" s="14"/>
      <c r="HC105" s="14"/>
      <c r="HD105" s="14"/>
      <c r="HE105" s="14"/>
      <c r="HF105" s="14"/>
      <c r="HG105" s="14"/>
      <c r="HH105" s="14"/>
      <c r="HI105" s="14"/>
      <c r="HJ105" s="14"/>
      <c r="HK105" s="14"/>
      <c r="HL105" s="14"/>
      <c r="HM105" s="14"/>
      <c r="HN105" s="14"/>
      <c r="HO105" s="14"/>
      <c r="HP105" s="14"/>
      <c r="HQ105" s="14"/>
      <c r="HR105" s="14"/>
      <c r="HS105" s="14"/>
      <c r="HT105" s="14"/>
      <c r="HU105" s="14"/>
      <c r="HV105" s="14"/>
      <c r="HW105" s="14"/>
      <c r="HX105" s="14"/>
      <c r="HY105" s="14"/>
      <c r="HZ105" s="14"/>
      <c r="IA105" s="14"/>
      <c r="IB105" s="14"/>
      <c r="IC105" s="14"/>
      <c r="ID105" s="14"/>
      <c r="IE105" s="14"/>
      <c r="IF105" s="14"/>
      <c r="IG105" s="14"/>
      <c r="IH105" s="14"/>
      <c r="II105" s="14"/>
      <c r="IJ105" s="14"/>
      <c r="IK105" s="14"/>
      <c r="IL105" s="14"/>
      <c r="IM105" s="14"/>
      <c r="IN105" s="14"/>
      <c r="IO105" s="14"/>
      <c r="IP105" s="14"/>
      <c r="IQ105" s="14"/>
      <c r="IR105" s="14"/>
      <c r="IS105" s="14"/>
      <c r="IT105" s="14"/>
      <c r="IU105" s="14"/>
      <c r="IV105" s="14"/>
      <c r="IW105" s="14"/>
      <c r="IX105" s="14"/>
      <c r="IY105" s="14"/>
      <c r="IZ105" s="14"/>
      <c r="JA105" s="14"/>
      <c r="JB105" s="14"/>
      <c r="JC105" s="14"/>
      <c r="JD105" s="14"/>
      <c r="JE105" s="14"/>
      <c r="JF105" s="14"/>
      <c r="JG105" s="14"/>
      <c r="JH105" s="14"/>
      <c r="JI105" s="14"/>
      <c r="JJ105" s="14"/>
      <c r="JK105" s="14"/>
      <c r="JL105" s="14"/>
      <c r="JM105" s="14"/>
      <c r="JN105" s="14"/>
      <c r="JO105" s="14"/>
      <c r="JP105" s="14"/>
      <c r="JQ105" s="14"/>
      <c r="JR105" s="14"/>
      <c r="JS105" s="14"/>
      <c r="JT105" s="14"/>
      <c r="JU105" s="14"/>
      <c r="JV105" s="14"/>
      <c r="JW105" s="14"/>
      <c r="JX105" s="14"/>
      <c r="JY105" s="14"/>
      <c r="JZ105" s="14"/>
      <c r="KA105" s="14"/>
      <c r="KB105" s="14"/>
      <c r="KC105" s="14"/>
      <c r="KD105" s="14"/>
      <c r="KE105" s="14"/>
      <c r="KF105" s="14"/>
      <c r="KG105" s="14"/>
      <c r="KH105" s="14"/>
      <c r="KI105" s="14"/>
      <c r="KJ105" s="14"/>
      <c r="KK105" s="14"/>
      <c r="KL105" s="14"/>
      <c r="KM105" s="14"/>
      <c r="KN105" s="14"/>
      <c r="KO105" s="14"/>
      <c r="KP105" s="14"/>
      <c r="KQ105" s="14"/>
      <c r="KR105" s="14"/>
      <c r="KS105" s="14"/>
      <c r="KT105" s="14"/>
      <c r="KU105" s="14"/>
      <c r="KV105" s="14"/>
      <c r="KW105" s="14"/>
      <c r="KX105" s="14"/>
      <c r="KY105" s="14"/>
      <c r="KZ105" s="14"/>
      <c r="LA105" s="14"/>
      <c r="LB105" s="14"/>
      <c r="LC105" s="14"/>
      <c r="LD105" s="14"/>
      <c r="LE105" s="14"/>
      <c r="LF105" s="14"/>
      <c r="LG105" s="14"/>
      <c r="LH105" s="14"/>
      <c r="LI105" s="14"/>
      <c r="LJ105" s="14"/>
      <c r="LK105" s="14"/>
      <c r="LL105" s="14"/>
      <c r="LM105" s="14"/>
      <c r="LN105" s="14"/>
      <c r="LO105" s="14"/>
      <c r="LP105" s="14"/>
      <c r="LQ105" s="14"/>
      <c r="LR105" s="14"/>
      <c r="LS105" s="14"/>
      <c r="LT105" s="14"/>
      <c r="LU105" s="14"/>
      <c r="LV105" s="14"/>
      <c r="LW105" s="14"/>
      <c r="LX105" s="14"/>
      <c r="LY105" s="14"/>
      <c r="LZ105" s="14"/>
      <c r="MA105" s="14"/>
      <c r="MB105" s="14"/>
      <c r="MC105" s="14"/>
      <c r="MD105" s="14"/>
      <c r="ME105" s="14"/>
      <c r="MF105" s="14"/>
      <c r="MG105" s="14"/>
      <c r="MH105" s="14"/>
      <c r="MI105" s="14"/>
      <c r="MJ105" s="14"/>
      <c r="MK105" s="14"/>
      <c r="ML105" s="14"/>
      <c r="MM105" s="14"/>
      <c r="MN105" s="14"/>
      <c r="MO105" s="14"/>
      <c r="MP105" s="14"/>
      <c r="MQ105" s="14"/>
      <c r="MR105" s="14"/>
      <c r="MS105" s="14"/>
      <c r="MT105" s="14"/>
      <c r="MU105" s="14"/>
      <c r="MV105" s="14"/>
      <c r="MW105" s="14"/>
      <c r="MX105" s="14"/>
      <c r="MY105" s="14"/>
      <c r="MZ105" s="14"/>
      <c r="NA105" s="14"/>
      <c r="NB105" s="14"/>
      <c r="NC105" s="14"/>
      <c r="ND105" s="14"/>
      <c r="NE105" s="14"/>
      <c r="NF105" s="14"/>
      <c r="NG105" s="14"/>
      <c r="NH105" s="14"/>
      <c r="NI105" s="14"/>
      <c r="NJ105" s="14"/>
      <c r="NK105" s="14"/>
      <c r="NL105" s="14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</row>
    <row r="106" ht="13.5" customHeight="1">
      <c r="A106" s="2"/>
      <c r="B106" s="22"/>
      <c r="C106" s="2"/>
      <c r="D106" s="13"/>
      <c r="E106" s="3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14"/>
      <c r="FU106" s="14"/>
      <c r="FV106" s="14"/>
      <c r="FW106" s="14"/>
      <c r="FX106" s="14"/>
      <c r="FY106" s="14"/>
      <c r="FZ106" s="14"/>
      <c r="GA106" s="14"/>
      <c r="GB106" s="14"/>
      <c r="GC106" s="14"/>
      <c r="GD106" s="14"/>
      <c r="GE106" s="14"/>
      <c r="GF106" s="14"/>
      <c r="GG106" s="14"/>
      <c r="GH106" s="14"/>
      <c r="GI106" s="14"/>
      <c r="GJ106" s="14"/>
      <c r="GK106" s="14"/>
      <c r="GL106" s="14"/>
      <c r="GM106" s="14"/>
      <c r="GN106" s="14"/>
      <c r="GO106" s="14"/>
      <c r="GP106" s="14"/>
      <c r="GQ106" s="14"/>
      <c r="GR106" s="14"/>
      <c r="GS106" s="14"/>
      <c r="GT106" s="14"/>
      <c r="GU106" s="14"/>
      <c r="GV106" s="14"/>
      <c r="GW106" s="14"/>
      <c r="GX106" s="14"/>
      <c r="GY106" s="14"/>
      <c r="GZ106" s="14"/>
      <c r="HA106" s="14"/>
      <c r="HB106" s="14"/>
      <c r="HC106" s="14"/>
      <c r="HD106" s="14"/>
      <c r="HE106" s="14"/>
      <c r="HF106" s="14"/>
      <c r="HG106" s="14"/>
      <c r="HH106" s="14"/>
      <c r="HI106" s="14"/>
      <c r="HJ106" s="14"/>
      <c r="HK106" s="14"/>
      <c r="HL106" s="14"/>
      <c r="HM106" s="14"/>
      <c r="HN106" s="14"/>
      <c r="HO106" s="14"/>
      <c r="HP106" s="14"/>
      <c r="HQ106" s="14"/>
      <c r="HR106" s="14"/>
      <c r="HS106" s="14"/>
      <c r="HT106" s="14"/>
      <c r="HU106" s="14"/>
      <c r="HV106" s="14"/>
      <c r="HW106" s="14"/>
      <c r="HX106" s="14"/>
      <c r="HY106" s="14"/>
      <c r="HZ106" s="14"/>
      <c r="IA106" s="14"/>
      <c r="IB106" s="14"/>
      <c r="IC106" s="14"/>
      <c r="ID106" s="14"/>
      <c r="IE106" s="14"/>
      <c r="IF106" s="14"/>
      <c r="IG106" s="14"/>
      <c r="IH106" s="14"/>
      <c r="II106" s="14"/>
      <c r="IJ106" s="14"/>
      <c r="IK106" s="14"/>
      <c r="IL106" s="14"/>
      <c r="IM106" s="14"/>
      <c r="IN106" s="14"/>
      <c r="IO106" s="14"/>
      <c r="IP106" s="14"/>
      <c r="IQ106" s="14"/>
      <c r="IR106" s="14"/>
      <c r="IS106" s="14"/>
      <c r="IT106" s="14"/>
      <c r="IU106" s="14"/>
      <c r="IV106" s="14"/>
      <c r="IW106" s="14"/>
      <c r="IX106" s="14"/>
      <c r="IY106" s="14"/>
      <c r="IZ106" s="14"/>
      <c r="JA106" s="14"/>
      <c r="JB106" s="14"/>
      <c r="JC106" s="14"/>
      <c r="JD106" s="14"/>
      <c r="JE106" s="14"/>
      <c r="JF106" s="14"/>
      <c r="JG106" s="14"/>
      <c r="JH106" s="14"/>
      <c r="JI106" s="14"/>
      <c r="JJ106" s="14"/>
      <c r="JK106" s="14"/>
      <c r="JL106" s="14"/>
      <c r="JM106" s="14"/>
      <c r="JN106" s="14"/>
      <c r="JO106" s="14"/>
      <c r="JP106" s="14"/>
      <c r="JQ106" s="14"/>
      <c r="JR106" s="14"/>
      <c r="JS106" s="14"/>
      <c r="JT106" s="14"/>
      <c r="JU106" s="14"/>
      <c r="JV106" s="14"/>
      <c r="JW106" s="14"/>
      <c r="JX106" s="14"/>
      <c r="JY106" s="14"/>
      <c r="JZ106" s="14"/>
      <c r="KA106" s="14"/>
      <c r="KB106" s="14"/>
      <c r="KC106" s="14"/>
      <c r="KD106" s="14"/>
      <c r="KE106" s="14"/>
      <c r="KF106" s="14"/>
      <c r="KG106" s="14"/>
      <c r="KH106" s="14"/>
      <c r="KI106" s="14"/>
      <c r="KJ106" s="14"/>
      <c r="KK106" s="14"/>
      <c r="KL106" s="14"/>
      <c r="KM106" s="14"/>
      <c r="KN106" s="14"/>
      <c r="KO106" s="14"/>
      <c r="KP106" s="14"/>
      <c r="KQ106" s="14"/>
      <c r="KR106" s="14"/>
      <c r="KS106" s="14"/>
      <c r="KT106" s="14"/>
      <c r="KU106" s="14"/>
      <c r="KV106" s="14"/>
      <c r="KW106" s="14"/>
      <c r="KX106" s="14"/>
      <c r="KY106" s="14"/>
      <c r="KZ106" s="14"/>
      <c r="LA106" s="14"/>
      <c r="LB106" s="14"/>
      <c r="LC106" s="14"/>
      <c r="LD106" s="14"/>
      <c r="LE106" s="14"/>
      <c r="LF106" s="14"/>
      <c r="LG106" s="14"/>
      <c r="LH106" s="14"/>
      <c r="LI106" s="14"/>
      <c r="LJ106" s="14"/>
      <c r="LK106" s="14"/>
      <c r="LL106" s="14"/>
      <c r="LM106" s="14"/>
      <c r="LN106" s="14"/>
      <c r="LO106" s="14"/>
      <c r="LP106" s="14"/>
      <c r="LQ106" s="14"/>
      <c r="LR106" s="14"/>
      <c r="LS106" s="14"/>
      <c r="LT106" s="14"/>
      <c r="LU106" s="14"/>
      <c r="LV106" s="14"/>
      <c r="LW106" s="14"/>
      <c r="LX106" s="14"/>
      <c r="LY106" s="14"/>
      <c r="LZ106" s="14"/>
      <c r="MA106" s="14"/>
      <c r="MB106" s="14"/>
      <c r="MC106" s="14"/>
      <c r="MD106" s="14"/>
      <c r="ME106" s="14"/>
      <c r="MF106" s="14"/>
      <c r="MG106" s="14"/>
      <c r="MH106" s="14"/>
      <c r="MI106" s="14"/>
      <c r="MJ106" s="14"/>
      <c r="MK106" s="14"/>
      <c r="ML106" s="14"/>
      <c r="MM106" s="14"/>
      <c r="MN106" s="14"/>
      <c r="MO106" s="14"/>
      <c r="MP106" s="14"/>
      <c r="MQ106" s="14"/>
      <c r="MR106" s="14"/>
      <c r="MS106" s="14"/>
      <c r="MT106" s="14"/>
      <c r="MU106" s="14"/>
      <c r="MV106" s="14"/>
      <c r="MW106" s="14"/>
      <c r="MX106" s="14"/>
      <c r="MY106" s="14"/>
      <c r="MZ106" s="14"/>
      <c r="NA106" s="14"/>
      <c r="NB106" s="14"/>
      <c r="NC106" s="14"/>
      <c r="ND106" s="14"/>
      <c r="NE106" s="14"/>
      <c r="NF106" s="14"/>
      <c r="NG106" s="14"/>
      <c r="NH106" s="14"/>
      <c r="NI106" s="14"/>
      <c r="NJ106" s="14"/>
      <c r="NK106" s="14"/>
      <c r="NL106" s="14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</row>
    <row r="107" ht="13.5" customHeight="1">
      <c r="A107" s="2"/>
      <c r="B107" s="22"/>
      <c r="C107" s="2"/>
      <c r="D107" s="13"/>
      <c r="E107" s="3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14"/>
      <c r="FU107" s="14"/>
      <c r="FV107" s="14"/>
      <c r="FW107" s="14"/>
      <c r="FX107" s="14"/>
      <c r="FY107" s="14"/>
      <c r="FZ107" s="14"/>
      <c r="GA107" s="14"/>
      <c r="GB107" s="14"/>
      <c r="GC107" s="14"/>
      <c r="GD107" s="14"/>
      <c r="GE107" s="14"/>
      <c r="GF107" s="14"/>
      <c r="GG107" s="14"/>
      <c r="GH107" s="14"/>
      <c r="GI107" s="14"/>
      <c r="GJ107" s="14"/>
      <c r="GK107" s="14"/>
      <c r="GL107" s="14"/>
      <c r="GM107" s="14"/>
      <c r="GN107" s="14"/>
      <c r="GO107" s="14"/>
      <c r="GP107" s="14"/>
      <c r="GQ107" s="14"/>
      <c r="GR107" s="14"/>
      <c r="GS107" s="14"/>
      <c r="GT107" s="14"/>
      <c r="GU107" s="14"/>
      <c r="GV107" s="14"/>
      <c r="GW107" s="14"/>
      <c r="GX107" s="14"/>
      <c r="GY107" s="14"/>
      <c r="GZ107" s="14"/>
      <c r="HA107" s="14"/>
      <c r="HB107" s="14"/>
      <c r="HC107" s="14"/>
      <c r="HD107" s="14"/>
      <c r="HE107" s="14"/>
      <c r="HF107" s="14"/>
      <c r="HG107" s="14"/>
      <c r="HH107" s="14"/>
      <c r="HI107" s="14"/>
      <c r="HJ107" s="14"/>
      <c r="HK107" s="14"/>
      <c r="HL107" s="14"/>
      <c r="HM107" s="14"/>
      <c r="HN107" s="14"/>
      <c r="HO107" s="14"/>
      <c r="HP107" s="14"/>
      <c r="HQ107" s="14"/>
      <c r="HR107" s="14"/>
      <c r="HS107" s="14"/>
      <c r="HT107" s="14"/>
      <c r="HU107" s="14"/>
      <c r="HV107" s="14"/>
      <c r="HW107" s="14"/>
      <c r="HX107" s="14"/>
      <c r="HY107" s="14"/>
      <c r="HZ107" s="14"/>
      <c r="IA107" s="14"/>
      <c r="IB107" s="14"/>
      <c r="IC107" s="14"/>
      <c r="ID107" s="14"/>
      <c r="IE107" s="14"/>
      <c r="IF107" s="14"/>
      <c r="IG107" s="14"/>
      <c r="IH107" s="14"/>
      <c r="II107" s="14"/>
      <c r="IJ107" s="14"/>
      <c r="IK107" s="14"/>
      <c r="IL107" s="14"/>
      <c r="IM107" s="14"/>
      <c r="IN107" s="14"/>
      <c r="IO107" s="14"/>
      <c r="IP107" s="14"/>
      <c r="IQ107" s="14"/>
      <c r="IR107" s="14"/>
      <c r="IS107" s="14"/>
      <c r="IT107" s="14"/>
      <c r="IU107" s="14"/>
      <c r="IV107" s="14"/>
      <c r="IW107" s="14"/>
      <c r="IX107" s="14"/>
      <c r="IY107" s="14"/>
      <c r="IZ107" s="14"/>
      <c r="JA107" s="14"/>
      <c r="JB107" s="14"/>
      <c r="JC107" s="14"/>
      <c r="JD107" s="14"/>
      <c r="JE107" s="14"/>
      <c r="JF107" s="14"/>
      <c r="JG107" s="14"/>
      <c r="JH107" s="14"/>
      <c r="JI107" s="14"/>
      <c r="JJ107" s="14"/>
      <c r="JK107" s="14"/>
      <c r="JL107" s="14"/>
      <c r="JM107" s="14"/>
      <c r="JN107" s="14"/>
      <c r="JO107" s="14"/>
      <c r="JP107" s="14"/>
      <c r="JQ107" s="14"/>
      <c r="JR107" s="14"/>
      <c r="JS107" s="14"/>
      <c r="JT107" s="14"/>
      <c r="JU107" s="14"/>
      <c r="JV107" s="14"/>
      <c r="JW107" s="14"/>
      <c r="JX107" s="14"/>
      <c r="JY107" s="14"/>
      <c r="JZ107" s="14"/>
      <c r="KA107" s="14"/>
      <c r="KB107" s="14"/>
      <c r="KC107" s="14"/>
      <c r="KD107" s="14"/>
      <c r="KE107" s="14"/>
      <c r="KF107" s="14"/>
      <c r="KG107" s="14"/>
      <c r="KH107" s="14"/>
      <c r="KI107" s="14"/>
      <c r="KJ107" s="14"/>
      <c r="KK107" s="14"/>
      <c r="KL107" s="14"/>
      <c r="KM107" s="14"/>
      <c r="KN107" s="14"/>
      <c r="KO107" s="14"/>
      <c r="KP107" s="14"/>
      <c r="KQ107" s="14"/>
      <c r="KR107" s="14"/>
      <c r="KS107" s="14"/>
      <c r="KT107" s="14"/>
      <c r="KU107" s="14"/>
      <c r="KV107" s="14"/>
      <c r="KW107" s="14"/>
      <c r="KX107" s="14"/>
      <c r="KY107" s="14"/>
      <c r="KZ107" s="14"/>
      <c r="LA107" s="14"/>
      <c r="LB107" s="14"/>
      <c r="LC107" s="14"/>
      <c r="LD107" s="14"/>
      <c r="LE107" s="14"/>
      <c r="LF107" s="14"/>
      <c r="LG107" s="14"/>
      <c r="LH107" s="14"/>
      <c r="LI107" s="14"/>
      <c r="LJ107" s="14"/>
      <c r="LK107" s="14"/>
      <c r="LL107" s="14"/>
      <c r="LM107" s="14"/>
      <c r="LN107" s="14"/>
      <c r="LO107" s="14"/>
      <c r="LP107" s="14"/>
      <c r="LQ107" s="14"/>
      <c r="LR107" s="14"/>
      <c r="LS107" s="14"/>
      <c r="LT107" s="14"/>
      <c r="LU107" s="14"/>
      <c r="LV107" s="14"/>
      <c r="LW107" s="14"/>
      <c r="LX107" s="14"/>
      <c r="LY107" s="14"/>
      <c r="LZ107" s="14"/>
      <c r="MA107" s="14"/>
      <c r="MB107" s="14"/>
      <c r="MC107" s="14"/>
      <c r="MD107" s="14"/>
      <c r="ME107" s="14"/>
      <c r="MF107" s="14"/>
      <c r="MG107" s="14"/>
      <c r="MH107" s="14"/>
      <c r="MI107" s="14"/>
      <c r="MJ107" s="14"/>
      <c r="MK107" s="14"/>
      <c r="ML107" s="14"/>
      <c r="MM107" s="14"/>
      <c r="MN107" s="14"/>
      <c r="MO107" s="14"/>
      <c r="MP107" s="14"/>
      <c r="MQ107" s="14"/>
      <c r="MR107" s="14"/>
      <c r="MS107" s="14"/>
      <c r="MT107" s="14"/>
      <c r="MU107" s="14"/>
      <c r="MV107" s="14"/>
      <c r="MW107" s="14"/>
      <c r="MX107" s="14"/>
      <c r="MY107" s="14"/>
      <c r="MZ107" s="14"/>
      <c r="NA107" s="14"/>
      <c r="NB107" s="14"/>
      <c r="NC107" s="14"/>
      <c r="ND107" s="14"/>
      <c r="NE107" s="14"/>
      <c r="NF107" s="14"/>
      <c r="NG107" s="14"/>
      <c r="NH107" s="14"/>
      <c r="NI107" s="14"/>
      <c r="NJ107" s="14"/>
      <c r="NK107" s="14"/>
      <c r="NL107" s="14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</row>
    <row r="108" ht="13.5" customHeight="1">
      <c r="A108" s="2"/>
      <c r="B108" s="22"/>
      <c r="C108" s="2"/>
      <c r="D108" s="13"/>
      <c r="E108" s="3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14"/>
      <c r="FU108" s="14"/>
      <c r="FV108" s="14"/>
      <c r="FW108" s="14"/>
      <c r="FX108" s="14"/>
      <c r="FY108" s="14"/>
      <c r="FZ108" s="14"/>
      <c r="GA108" s="14"/>
      <c r="GB108" s="14"/>
      <c r="GC108" s="14"/>
      <c r="GD108" s="14"/>
      <c r="GE108" s="14"/>
      <c r="GF108" s="14"/>
      <c r="GG108" s="14"/>
      <c r="GH108" s="14"/>
      <c r="GI108" s="14"/>
      <c r="GJ108" s="14"/>
      <c r="GK108" s="14"/>
      <c r="GL108" s="14"/>
      <c r="GM108" s="14"/>
      <c r="GN108" s="14"/>
      <c r="GO108" s="14"/>
      <c r="GP108" s="14"/>
      <c r="GQ108" s="14"/>
      <c r="GR108" s="14"/>
      <c r="GS108" s="14"/>
      <c r="GT108" s="14"/>
      <c r="GU108" s="14"/>
      <c r="GV108" s="14"/>
      <c r="GW108" s="14"/>
      <c r="GX108" s="14"/>
      <c r="GY108" s="14"/>
      <c r="GZ108" s="14"/>
      <c r="HA108" s="14"/>
      <c r="HB108" s="14"/>
      <c r="HC108" s="14"/>
      <c r="HD108" s="14"/>
      <c r="HE108" s="14"/>
      <c r="HF108" s="14"/>
      <c r="HG108" s="14"/>
      <c r="HH108" s="14"/>
      <c r="HI108" s="14"/>
      <c r="HJ108" s="14"/>
      <c r="HK108" s="14"/>
      <c r="HL108" s="14"/>
      <c r="HM108" s="14"/>
      <c r="HN108" s="14"/>
      <c r="HO108" s="14"/>
      <c r="HP108" s="14"/>
      <c r="HQ108" s="14"/>
      <c r="HR108" s="14"/>
      <c r="HS108" s="14"/>
      <c r="HT108" s="14"/>
      <c r="HU108" s="14"/>
      <c r="HV108" s="14"/>
      <c r="HW108" s="14"/>
      <c r="HX108" s="14"/>
      <c r="HY108" s="14"/>
      <c r="HZ108" s="14"/>
      <c r="IA108" s="14"/>
      <c r="IB108" s="14"/>
      <c r="IC108" s="14"/>
      <c r="ID108" s="14"/>
      <c r="IE108" s="14"/>
      <c r="IF108" s="14"/>
      <c r="IG108" s="14"/>
      <c r="IH108" s="14"/>
      <c r="II108" s="14"/>
      <c r="IJ108" s="14"/>
      <c r="IK108" s="14"/>
      <c r="IL108" s="14"/>
      <c r="IM108" s="14"/>
      <c r="IN108" s="14"/>
      <c r="IO108" s="14"/>
      <c r="IP108" s="14"/>
      <c r="IQ108" s="14"/>
      <c r="IR108" s="14"/>
      <c r="IS108" s="14"/>
      <c r="IT108" s="14"/>
      <c r="IU108" s="14"/>
      <c r="IV108" s="14"/>
      <c r="IW108" s="14"/>
      <c r="IX108" s="14"/>
      <c r="IY108" s="14"/>
      <c r="IZ108" s="14"/>
      <c r="JA108" s="14"/>
      <c r="JB108" s="14"/>
      <c r="JC108" s="14"/>
      <c r="JD108" s="14"/>
      <c r="JE108" s="14"/>
      <c r="JF108" s="14"/>
      <c r="JG108" s="14"/>
      <c r="JH108" s="14"/>
      <c r="JI108" s="14"/>
      <c r="JJ108" s="14"/>
      <c r="JK108" s="14"/>
      <c r="JL108" s="14"/>
      <c r="JM108" s="14"/>
      <c r="JN108" s="14"/>
      <c r="JO108" s="14"/>
      <c r="JP108" s="14"/>
      <c r="JQ108" s="14"/>
      <c r="JR108" s="14"/>
      <c r="JS108" s="14"/>
      <c r="JT108" s="14"/>
      <c r="JU108" s="14"/>
      <c r="JV108" s="14"/>
      <c r="JW108" s="14"/>
      <c r="JX108" s="14"/>
      <c r="JY108" s="14"/>
      <c r="JZ108" s="14"/>
      <c r="KA108" s="14"/>
      <c r="KB108" s="14"/>
      <c r="KC108" s="14"/>
      <c r="KD108" s="14"/>
      <c r="KE108" s="14"/>
      <c r="KF108" s="14"/>
      <c r="KG108" s="14"/>
      <c r="KH108" s="14"/>
      <c r="KI108" s="14"/>
      <c r="KJ108" s="14"/>
      <c r="KK108" s="14"/>
      <c r="KL108" s="14"/>
      <c r="KM108" s="14"/>
      <c r="KN108" s="14"/>
      <c r="KO108" s="14"/>
      <c r="KP108" s="14"/>
      <c r="KQ108" s="14"/>
      <c r="KR108" s="14"/>
      <c r="KS108" s="14"/>
      <c r="KT108" s="14"/>
      <c r="KU108" s="14"/>
      <c r="KV108" s="14"/>
      <c r="KW108" s="14"/>
      <c r="KX108" s="14"/>
      <c r="KY108" s="14"/>
      <c r="KZ108" s="14"/>
      <c r="LA108" s="14"/>
      <c r="LB108" s="14"/>
      <c r="LC108" s="14"/>
      <c r="LD108" s="14"/>
      <c r="LE108" s="14"/>
      <c r="LF108" s="14"/>
      <c r="LG108" s="14"/>
      <c r="LH108" s="14"/>
      <c r="LI108" s="14"/>
      <c r="LJ108" s="14"/>
      <c r="LK108" s="14"/>
      <c r="LL108" s="14"/>
      <c r="LM108" s="14"/>
      <c r="LN108" s="14"/>
      <c r="LO108" s="14"/>
      <c r="LP108" s="14"/>
      <c r="LQ108" s="14"/>
      <c r="LR108" s="14"/>
      <c r="LS108" s="14"/>
      <c r="LT108" s="14"/>
      <c r="LU108" s="14"/>
      <c r="LV108" s="14"/>
      <c r="LW108" s="14"/>
      <c r="LX108" s="14"/>
      <c r="LY108" s="14"/>
      <c r="LZ108" s="14"/>
      <c r="MA108" s="14"/>
      <c r="MB108" s="14"/>
      <c r="MC108" s="14"/>
      <c r="MD108" s="14"/>
      <c r="ME108" s="14"/>
      <c r="MF108" s="14"/>
      <c r="MG108" s="14"/>
      <c r="MH108" s="14"/>
      <c r="MI108" s="14"/>
      <c r="MJ108" s="14"/>
      <c r="MK108" s="14"/>
      <c r="ML108" s="14"/>
      <c r="MM108" s="14"/>
      <c r="MN108" s="14"/>
      <c r="MO108" s="14"/>
      <c r="MP108" s="14"/>
      <c r="MQ108" s="14"/>
      <c r="MR108" s="14"/>
      <c r="MS108" s="14"/>
      <c r="MT108" s="14"/>
      <c r="MU108" s="14"/>
      <c r="MV108" s="14"/>
      <c r="MW108" s="14"/>
      <c r="MX108" s="14"/>
      <c r="MY108" s="14"/>
      <c r="MZ108" s="14"/>
      <c r="NA108" s="14"/>
      <c r="NB108" s="14"/>
      <c r="NC108" s="14"/>
      <c r="ND108" s="14"/>
      <c r="NE108" s="14"/>
      <c r="NF108" s="14"/>
      <c r="NG108" s="14"/>
      <c r="NH108" s="14"/>
      <c r="NI108" s="14"/>
      <c r="NJ108" s="14"/>
      <c r="NK108" s="14"/>
      <c r="NL108" s="14"/>
      <c r="NM108" s="3"/>
      <c r="NN108" s="3"/>
      <c r="NO108" s="3"/>
      <c r="NP108" s="3"/>
      <c r="NQ108" s="3"/>
      <c r="NR108" s="3"/>
      <c r="NS108" s="3"/>
      <c r="NT108" s="3"/>
      <c r="NU108" s="3"/>
      <c r="NV108" s="3"/>
      <c r="NW108" s="3"/>
      <c r="NX108" s="3"/>
      <c r="NY108" s="3"/>
      <c r="NZ108" s="3"/>
      <c r="OA108" s="3"/>
      <c r="OB108" s="3"/>
      <c r="OC108" s="3"/>
      <c r="OD108" s="3"/>
      <c r="OE108" s="3"/>
      <c r="OF108" s="3"/>
    </row>
    <row r="109" ht="13.5" customHeight="1">
      <c r="A109" s="2"/>
      <c r="B109" s="22"/>
      <c r="C109" s="2"/>
      <c r="D109" s="13"/>
      <c r="E109" s="3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4"/>
      <c r="FJ109" s="14"/>
      <c r="FK109" s="14"/>
      <c r="FL109" s="14"/>
      <c r="FM109" s="14"/>
      <c r="FN109" s="14"/>
      <c r="FO109" s="14"/>
      <c r="FP109" s="14"/>
      <c r="FQ109" s="14"/>
      <c r="FR109" s="14"/>
      <c r="FS109" s="14"/>
      <c r="FT109" s="14"/>
      <c r="FU109" s="14"/>
      <c r="FV109" s="14"/>
      <c r="FW109" s="14"/>
      <c r="FX109" s="14"/>
      <c r="FY109" s="14"/>
      <c r="FZ109" s="14"/>
      <c r="GA109" s="14"/>
      <c r="GB109" s="14"/>
      <c r="GC109" s="14"/>
      <c r="GD109" s="14"/>
      <c r="GE109" s="14"/>
      <c r="GF109" s="14"/>
      <c r="GG109" s="14"/>
      <c r="GH109" s="14"/>
      <c r="GI109" s="14"/>
      <c r="GJ109" s="14"/>
      <c r="GK109" s="14"/>
      <c r="GL109" s="14"/>
      <c r="GM109" s="14"/>
      <c r="GN109" s="14"/>
      <c r="GO109" s="14"/>
      <c r="GP109" s="14"/>
      <c r="GQ109" s="14"/>
      <c r="GR109" s="14"/>
      <c r="GS109" s="14"/>
      <c r="GT109" s="14"/>
      <c r="GU109" s="14"/>
      <c r="GV109" s="14"/>
      <c r="GW109" s="14"/>
      <c r="GX109" s="14"/>
      <c r="GY109" s="14"/>
      <c r="GZ109" s="14"/>
      <c r="HA109" s="14"/>
      <c r="HB109" s="14"/>
      <c r="HC109" s="14"/>
      <c r="HD109" s="14"/>
      <c r="HE109" s="14"/>
      <c r="HF109" s="14"/>
      <c r="HG109" s="14"/>
      <c r="HH109" s="14"/>
      <c r="HI109" s="14"/>
      <c r="HJ109" s="14"/>
      <c r="HK109" s="14"/>
      <c r="HL109" s="14"/>
      <c r="HM109" s="14"/>
      <c r="HN109" s="14"/>
      <c r="HO109" s="14"/>
      <c r="HP109" s="14"/>
      <c r="HQ109" s="14"/>
      <c r="HR109" s="14"/>
      <c r="HS109" s="14"/>
      <c r="HT109" s="14"/>
      <c r="HU109" s="14"/>
      <c r="HV109" s="14"/>
      <c r="HW109" s="14"/>
      <c r="HX109" s="14"/>
      <c r="HY109" s="14"/>
      <c r="HZ109" s="14"/>
      <c r="IA109" s="14"/>
      <c r="IB109" s="14"/>
      <c r="IC109" s="14"/>
      <c r="ID109" s="14"/>
      <c r="IE109" s="14"/>
      <c r="IF109" s="14"/>
      <c r="IG109" s="14"/>
      <c r="IH109" s="14"/>
      <c r="II109" s="14"/>
      <c r="IJ109" s="14"/>
      <c r="IK109" s="14"/>
      <c r="IL109" s="14"/>
      <c r="IM109" s="14"/>
      <c r="IN109" s="14"/>
      <c r="IO109" s="14"/>
      <c r="IP109" s="14"/>
      <c r="IQ109" s="14"/>
      <c r="IR109" s="14"/>
      <c r="IS109" s="14"/>
      <c r="IT109" s="14"/>
      <c r="IU109" s="14"/>
      <c r="IV109" s="14"/>
      <c r="IW109" s="14"/>
      <c r="IX109" s="14"/>
      <c r="IY109" s="14"/>
      <c r="IZ109" s="14"/>
      <c r="JA109" s="14"/>
      <c r="JB109" s="14"/>
      <c r="JC109" s="14"/>
      <c r="JD109" s="14"/>
      <c r="JE109" s="14"/>
      <c r="JF109" s="14"/>
      <c r="JG109" s="14"/>
      <c r="JH109" s="14"/>
      <c r="JI109" s="14"/>
      <c r="JJ109" s="14"/>
      <c r="JK109" s="14"/>
      <c r="JL109" s="14"/>
      <c r="JM109" s="14"/>
      <c r="JN109" s="14"/>
      <c r="JO109" s="14"/>
      <c r="JP109" s="14"/>
      <c r="JQ109" s="14"/>
      <c r="JR109" s="14"/>
      <c r="JS109" s="14"/>
      <c r="JT109" s="14"/>
      <c r="JU109" s="14"/>
      <c r="JV109" s="14"/>
      <c r="JW109" s="14"/>
      <c r="JX109" s="14"/>
      <c r="JY109" s="14"/>
      <c r="JZ109" s="14"/>
      <c r="KA109" s="14"/>
      <c r="KB109" s="14"/>
      <c r="KC109" s="14"/>
      <c r="KD109" s="14"/>
      <c r="KE109" s="14"/>
      <c r="KF109" s="14"/>
      <c r="KG109" s="14"/>
      <c r="KH109" s="14"/>
      <c r="KI109" s="14"/>
      <c r="KJ109" s="14"/>
      <c r="KK109" s="14"/>
      <c r="KL109" s="14"/>
      <c r="KM109" s="14"/>
      <c r="KN109" s="14"/>
      <c r="KO109" s="14"/>
      <c r="KP109" s="14"/>
      <c r="KQ109" s="14"/>
      <c r="KR109" s="14"/>
      <c r="KS109" s="14"/>
      <c r="KT109" s="14"/>
      <c r="KU109" s="14"/>
      <c r="KV109" s="14"/>
      <c r="KW109" s="14"/>
      <c r="KX109" s="14"/>
      <c r="KY109" s="14"/>
      <c r="KZ109" s="14"/>
      <c r="LA109" s="14"/>
      <c r="LB109" s="14"/>
      <c r="LC109" s="14"/>
      <c r="LD109" s="14"/>
      <c r="LE109" s="14"/>
      <c r="LF109" s="14"/>
      <c r="LG109" s="14"/>
      <c r="LH109" s="14"/>
      <c r="LI109" s="14"/>
      <c r="LJ109" s="14"/>
      <c r="LK109" s="14"/>
      <c r="LL109" s="14"/>
      <c r="LM109" s="14"/>
      <c r="LN109" s="14"/>
      <c r="LO109" s="14"/>
      <c r="LP109" s="14"/>
      <c r="LQ109" s="14"/>
      <c r="LR109" s="14"/>
      <c r="LS109" s="14"/>
      <c r="LT109" s="14"/>
      <c r="LU109" s="14"/>
      <c r="LV109" s="14"/>
      <c r="LW109" s="14"/>
      <c r="LX109" s="14"/>
      <c r="LY109" s="14"/>
      <c r="LZ109" s="14"/>
      <c r="MA109" s="14"/>
      <c r="MB109" s="14"/>
      <c r="MC109" s="14"/>
      <c r="MD109" s="14"/>
      <c r="ME109" s="14"/>
      <c r="MF109" s="14"/>
      <c r="MG109" s="14"/>
      <c r="MH109" s="14"/>
      <c r="MI109" s="14"/>
      <c r="MJ109" s="14"/>
      <c r="MK109" s="14"/>
      <c r="ML109" s="14"/>
      <c r="MM109" s="14"/>
      <c r="MN109" s="14"/>
      <c r="MO109" s="14"/>
      <c r="MP109" s="14"/>
      <c r="MQ109" s="14"/>
      <c r="MR109" s="14"/>
      <c r="MS109" s="14"/>
      <c r="MT109" s="14"/>
      <c r="MU109" s="14"/>
      <c r="MV109" s="14"/>
      <c r="MW109" s="14"/>
      <c r="MX109" s="14"/>
      <c r="MY109" s="14"/>
      <c r="MZ109" s="14"/>
      <c r="NA109" s="14"/>
      <c r="NB109" s="14"/>
      <c r="NC109" s="14"/>
      <c r="ND109" s="14"/>
      <c r="NE109" s="14"/>
      <c r="NF109" s="14"/>
      <c r="NG109" s="14"/>
      <c r="NH109" s="14"/>
      <c r="NI109" s="14"/>
      <c r="NJ109" s="14"/>
      <c r="NK109" s="14"/>
      <c r="NL109" s="14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</row>
    <row r="110" ht="13.5" customHeight="1">
      <c r="A110" s="2"/>
      <c r="B110" s="22"/>
      <c r="C110" s="2"/>
      <c r="D110" s="13"/>
      <c r="E110" s="3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4"/>
      <c r="FJ110" s="14"/>
      <c r="FK110" s="14"/>
      <c r="FL110" s="14"/>
      <c r="FM110" s="14"/>
      <c r="FN110" s="14"/>
      <c r="FO110" s="14"/>
      <c r="FP110" s="14"/>
      <c r="FQ110" s="14"/>
      <c r="FR110" s="14"/>
      <c r="FS110" s="14"/>
      <c r="FT110" s="14"/>
      <c r="FU110" s="14"/>
      <c r="FV110" s="14"/>
      <c r="FW110" s="14"/>
      <c r="FX110" s="14"/>
      <c r="FY110" s="14"/>
      <c r="FZ110" s="14"/>
      <c r="GA110" s="14"/>
      <c r="GB110" s="14"/>
      <c r="GC110" s="14"/>
      <c r="GD110" s="14"/>
      <c r="GE110" s="14"/>
      <c r="GF110" s="14"/>
      <c r="GG110" s="14"/>
      <c r="GH110" s="14"/>
      <c r="GI110" s="14"/>
      <c r="GJ110" s="14"/>
      <c r="GK110" s="14"/>
      <c r="GL110" s="14"/>
      <c r="GM110" s="14"/>
      <c r="GN110" s="14"/>
      <c r="GO110" s="14"/>
      <c r="GP110" s="14"/>
      <c r="GQ110" s="14"/>
      <c r="GR110" s="14"/>
      <c r="GS110" s="14"/>
      <c r="GT110" s="14"/>
      <c r="GU110" s="14"/>
      <c r="GV110" s="14"/>
      <c r="GW110" s="14"/>
      <c r="GX110" s="14"/>
      <c r="GY110" s="14"/>
      <c r="GZ110" s="14"/>
      <c r="HA110" s="14"/>
      <c r="HB110" s="14"/>
      <c r="HC110" s="14"/>
      <c r="HD110" s="14"/>
      <c r="HE110" s="14"/>
      <c r="HF110" s="14"/>
      <c r="HG110" s="14"/>
      <c r="HH110" s="14"/>
      <c r="HI110" s="14"/>
      <c r="HJ110" s="14"/>
      <c r="HK110" s="14"/>
      <c r="HL110" s="14"/>
      <c r="HM110" s="14"/>
      <c r="HN110" s="14"/>
      <c r="HO110" s="14"/>
      <c r="HP110" s="14"/>
      <c r="HQ110" s="14"/>
      <c r="HR110" s="14"/>
      <c r="HS110" s="14"/>
      <c r="HT110" s="14"/>
      <c r="HU110" s="14"/>
      <c r="HV110" s="14"/>
      <c r="HW110" s="14"/>
      <c r="HX110" s="14"/>
      <c r="HY110" s="14"/>
      <c r="HZ110" s="14"/>
      <c r="IA110" s="14"/>
      <c r="IB110" s="14"/>
      <c r="IC110" s="14"/>
      <c r="ID110" s="14"/>
      <c r="IE110" s="14"/>
      <c r="IF110" s="14"/>
      <c r="IG110" s="14"/>
      <c r="IH110" s="14"/>
      <c r="II110" s="14"/>
      <c r="IJ110" s="14"/>
      <c r="IK110" s="14"/>
      <c r="IL110" s="14"/>
      <c r="IM110" s="14"/>
      <c r="IN110" s="14"/>
      <c r="IO110" s="14"/>
      <c r="IP110" s="14"/>
      <c r="IQ110" s="14"/>
      <c r="IR110" s="14"/>
      <c r="IS110" s="14"/>
      <c r="IT110" s="14"/>
      <c r="IU110" s="14"/>
      <c r="IV110" s="14"/>
      <c r="IW110" s="14"/>
      <c r="IX110" s="14"/>
      <c r="IY110" s="14"/>
      <c r="IZ110" s="14"/>
      <c r="JA110" s="14"/>
      <c r="JB110" s="14"/>
      <c r="JC110" s="14"/>
      <c r="JD110" s="14"/>
      <c r="JE110" s="14"/>
      <c r="JF110" s="14"/>
      <c r="JG110" s="14"/>
      <c r="JH110" s="14"/>
      <c r="JI110" s="14"/>
      <c r="JJ110" s="14"/>
      <c r="JK110" s="14"/>
      <c r="JL110" s="14"/>
      <c r="JM110" s="14"/>
      <c r="JN110" s="14"/>
      <c r="JO110" s="14"/>
      <c r="JP110" s="14"/>
      <c r="JQ110" s="14"/>
      <c r="JR110" s="14"/>
      <c r="JS110" s="14"/>
      <c r="JT110" s="14"/>
      <c r="JU110" s="14"/>
      <c r="JV110" s="14"/>
      <c r="JW110" s="14"/>
      <c r="JX110" s="14"/>
      <c r="JY110" s="14"/>
      <c r="JZ110" s="14"/>
      <c r="KA110" s="14"/>
      <c r="KB110" s="14"/>
      <c r="KC110" s="14"/>
      <c r="KD110" s="14"/>
      <c r="KE110" s="14"/>
      <c r="KF110" s="14"/>
      <c r="KG110" s="14"/>
      <c r="KH110" s="14"/>
      <c r="KI110" s="14"/>
      <c r="KJ110" s="14"/>
      <c r="KK110" s="14"/>
      <c r="KL110" s="14"/>
      <c r="KM110" s="14"/>
      <c r="KN110" s="14"/>
      <c r="KO110" s="14"/>
      <c r="KP110" s="14"/>
      <c r="KQ110" s="14"/>
      <c r="KR110" s="14"/>
      <c r="KS110" s="14"/>
      <c r="KT110" s="14"/>
      <c r="KU110" s="14"/>
      <c r="KV110" s="14"/>
      <c r="KW110" s="14"/>
      <c r="KX110" s="14"/>
      <c r="KY110" s="14"/>
      <c r="KZ110" s="14"/>
      <c r="LA110" s="14"/>
      <c r="LB110" s="14"/>
      <c r="LC110" s="14"/>
      <c r="LD110" s="14"/>
      <c r="LE110" s="14"/>
      <c r="LF110" s="14"/>
      <c r="LG110" s="14"/>
      <c r="LH110" s="14"/>
      <c r="LI110" s="14"/>
      <c r="LJ110" s="14"/>
      <c r="LK110" s="14"/>
      <c r="LL110" s="14"/>
      <c r="LM110" s="14"/>
      <c r="LN110" s="14"/>
      <c r="LO110" s="14"/>
      <c r="LP110" s="14"/>
      <c r="LQ110" s="14"/>
      <c r="LR110" s="14"/>
      <c r="LS110" s="14"/>
      <c r="LT110" s="14"/>
      <c r="LU110" s="14"/>
      <c r="LV110" s="14"/>
      <c r="LW110" s="14"/>
      <c r="LX110" s="14"/>
      <c r="LY110" s="14"/>
      <c r="LZ110" s="14"/>
      <c r="MA110" s="14"/>
      <c r="MB110" s="14"/>
      <c r="MC110" s="14"/>
      <c r="MD110" s="14"/>
      <c r="ME110" s="14"/>
      <c r="MF110" s="14"/>
      <c r="MG110" s="14"/>
      <c r="MH110" s="14"/>
      <c r="MI110" s="14"/>
      <c r="MJ110" s="14"/>
      <c r="MK110" s="14"/>
      <c r="ML110" s="14"/>
      <c r="MM110" s="14"/>
      <c r="MN110" s="14"/>
      <c r="MO110" s="14"/>
      <c r="MP110" s="14"/>
      <c r="MQ110" s="14"/>
      <c r="MR110" s="14"/>
      <c r="MS110" s="14"/>
      <c r="MT110" s="14"/>
      <c r="MU110" s="14"/>
      <c r="MV110" s="14"/>
      <c r="MW110" s="14"/>
      <c r="MX110" s="14"/>
      <c r="MY110" s="14"/>
      <c r="MZ110" s="14"/>
      <c r="NA110" s="14"/>
      <c r="NB110" s="14"/>
      <c r="NC110" s="14"/>
      <c r="ND110" s="14"/>
      <c r="NE110" s="14"/>
      <c r="NF110" s="14"/>
      <c r="NG110" s="14"/>
      <c r="NH110" s="14"/>
      <c r="NI110" s="14"/>
      <c r="NJ110" s="14"/>
      <c r="NK110" s="14"/>
      <c r="NL110" s="14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</row>
    <row r="111" ht="13.5" customHeight="1">
      <c r="A111" s="2"/>
      <c r="B111" s="22"/>
      <c r="C111" s="2"/>
      <c r="D111" s="13"/>
      <c r="E111" s="3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4"/>
      <c r="FJ111" s="14"/>
      <c r="FK111" s="14"/>
      <c r="FL111" s="14"/>
      <c r="FM111" s="14"/>
      <c r="FN111" s="14"/>
      <c r="FO111" s="14"/>
      <c r="FP111" s="14"/>
      <c r="FQ111" s="14"/>
      <c r="FR111" s="14"/>
      <c r="FS111" s="14"/>
      <c r="FT111" s="14"/>
      <c r="FU111" s="14"/>
      <c r="FV111" s="14"/>
      <c r="FW111" s="14"/>
      <c r="FX111" s="14"/>
      <c r="FY111" s="14"/>
      <c r="FZ111" s="14"/>
      <c r="GA111" s="14"/>
      <c r="GB111" s="14"/>
      <c r="GC111" s="14"/>
      <c r="GD111" s="14"/>
      <c r="GE111" s="14"/>
      <c r="GF111" s="14"/>
      <c r="GG111" s="14"/>
      <c r="GH111" s="14"/>
      <c r="GI111" s="14"/>
      <c r="GJ111" s="14"/>
      <c r="GK111" s="14"/>
      <c r="GL111" s="14"/>
      <c r="GM111" s="14"/>
      <c r="GN111" s="14"/>
      <c r="GO111" s="14"/>
      <c r="GP111" s="14"/>
      <c r="GQ111" s="14"/>
      <c r="GR111" s="14"/>
      <c r="GS111" s="14"/>
      <c r="GT111" s="14"/>
      <c r="GU111" s="14"/>
      <c r="GV111" s="14"/>
      <c r="GW111" s="14"/>
      <c r="GX111" s="14"/>
      <c r="GY111" s="14"/>
      <c r="GZ111" s="14"/>
      <c r="HA111" s="14"/>
      <c r="HB111" s="14"/>
      <c r="HC111" s="14"/>
      <c r="HD111" s="14"/>
      <c r="HE111" s="14"/>
      <c r="HF111" s="14"/>
      <c r="HG111" s="14"/>
      <c r="HH111" s="14"/>
      <c r="HI111" s="14"/>
      <c r="HJ111" s="14"/>
      <c r="HK111" s="14"/>
      <c r="HL111" s="14"/>
      <c r="HM111" s="14"/>
      <c r="HN111" s="14"/>
      <c r="HO111" s="14"/>
      <c r="HP111" s="14"/>
      <c r="HQ111" s="14"/>
      <c r="HR111" s="14"/>
      <c r="HS111" s="14"/>
      <c r="HT111" s="14"/>
      <c r="HU111" s="14"/>
      <c r="HV111" s="14"/>
      <c r="HW111" s="14"/>
      <c r="HX111" s="14"/>
      <c r="HY111" s="14"/>
      <c r="HZ111" s="14"/>
      <c r="IA111" s="14"/>
      <c r="IB111" s="14"/>
      <c r="IC111" s="14"/>
      <c r="ID111" s="14"/>
      <c r="IE111" s="14"/>
      <c r="IF111" s="14"/>
      <c r="IG111" s="14"/>
      <c r="IH111" s="14"/>
      <c r="II111" s="14"/>
      <c r="IJ111" s="14"/>
      <c r="IK111" s="14"/>
      <c r="IL111" s="14"/>
      <c r="IM111" s="14"/>
      <c r="IN111" s="14"/>
      <c r="IO111" s="14"/>
      <c r="IP111" s="14"/>
      <c r="IQ111" s="14"/>
      <c r="IR111" s="14"/>
      <c r="IS111" s="14"/>
      <c r="IT111" s="14"/>
      <c r="IU111" s="14"/>
      <c r="IV111" s="14"/>
      <c r="IW111" s="14"/>
      <c r="IX111" s="14"/>
      <c r="IY111" s="14"/>
      <c r="IZ111" s="14"/>
      <c r="JA111" s="14"/>
      <c r="JB111" s="14"/>
      <c r="JC111" s="14"/>
      <c r="JD111" s="14"/>
      <c r="JE111" s="14"/>
      <c r="JF111" s="14"/>
      <c r="JG111" s="14"/>
      <c r="JH111" s="14"/>
      <c r="JI111" s="14"/>
      <c r="JJ111" s="14"/>
      <c r="JK111" s="14"/>
      <c r="JL111" s="14"/>
      <c r="JM111" s="14"/>
      <c r="JN111" s="14"/>
      <c r="JO111" s="14"/>
      <c r="JP111" s="14"/>
      <c r="JQ111" s="14"/>
      <c r="JR111" s="14"/>
      <c r="JS111" s="14"/>
      <c r="JT111" s="14"/>
      <c r="JU111" s="14"/>
      <c r="JV111" s="14"/>
      <c r="JW111" s="14"/>
      <c r="JX111" s="14"/>
      <c r="JY111" s="14"/>
      <c r="JZ111" s="14"/>
      <c r="KA111" s="14"/>
      <c r="KB111" s="14"/>
      <c r="KC111" s="14"/>
      <c r="KD111" s="14"/>
      <c r="KE111" s="14"/>
      <c r="KF111" s="14"/>
      <c r="KG111" s="14"/>
      <c r="KH111" s="14"/>
      <c r="KI111" s="14"/>
      <c r="KJ111" s="14"/>
      <c r="KK111" s="14"/>
      <c r="KL111" s="14"/>
      <c r="KM111" s="14"/>
      <c r="KN111" s="14"/>
      <c r="KO111" s="14"/>
      <c r="KP111" s="14"/>
      <c r="KQ111" s="14"/>
      <c r="KR111" s="14"/>
      <c r="KS111" s="14"/>
      <c r="KT111" s="14"/>
      <c r="KU111" s="14"/>
      <c r="KV111" s="14"/>
      <c r="KW111" s="14"/>
      <c r="KX111" s="14"/>
      <c r="KY111" s="14"/>
      <c r="KZ111" s="14"/>
      <c r="LA111" s="14"/>
      <c r="LB111" s="14"/>
      <c r="LC111" s="14"/>
      <c r="LD111" s="14"/>
      <c r="LE111" s="14"/>
      <c r="LF111" s="14"/>
      <c r="LG111" s="14"/>
      <c r="LH111" s="14"/>
      <c r="LI111" s="14"/>
      <c r="LJ111" s="14"/>
      <c r="LK111" s="14"/>
      <c r="LL111" s="14"/>
      <c r="LM111" s="14"/>
      <c r="LN111" s="14"/>
      <c r="LO111" s="14"/>
      <c r="LP111" s="14"/>
      <c r="LQ111" s="14"/>
      <c r="LR111" s="14"/>
      <c r="LS111" s="14"/>
      <c r="LT111" s="14"/>
      <c r="LU111" s="14"/>
      <c r="LV111" s="14"/>
      <c r="LW111" s="14"/>
      <c r="LX111" s="14"/>
      <c r="LY111" s="14"/>
      <c r="LZ111" s="14"/>
      <c r="MA111" s="14"/>
      <c r="MB111" s="14"/>
      <c r="MC111" s="14"/>
      <c r="MD111" s="14"/>
      <c r="ME111" s="14"/>
      <c r="MF111" s="14"/>
      <c r="MG111" s="14"/>
      <c r="MH111" s="14"/>
      <c r="MI111" s="14"/>
      <c r="MJ111" s="14"/>
      <c r="MK111" s="14"/>
      <c r="ML111" s="14"/>
      <c r="MM111" s="14"/>
      <c r="MN111" s="14"/>
      <c r="MO111" s="14"/>
      <c r="MP111" s="14"/>
      <c r="MQ111" s="14"/>
      <c r="MR111" s="14"/>
      <c r="MS111" s="14"/>
      <c r="MT111" s="14"/>
      <c r="MU111" s="14"/>
      <c r="MV111" s="14"/>
      <c r="MW111" s="14"/>
      <c r="MX111" s="14"/>
      <c r="MY111" s="14"/>
      <c r="MZ111" s="14"/>
      <c r="NA111" s="14"/>
      <c r="NB111" s="14"/>
      <c r="NC111" s="14"/>
      <c r="ND111" s="14"/>
      <c r="NE111" s="14"/>
      <c r="NF111" s="14"/>
      <c r="NG111" s="14"/>
      <c r="NH111" s="14"/>
      <c r="NI111" s="14"/>
      <c r="NJ111" s="14"/>
      <c r="NK111" s="14"/>
      <c r="NL111" s="14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</row>
    <row r="112" ht="13.5" customHeight="1">
      <c r="A112" s="2"/>
      <c r="B112" s="22"/>
      <c r="C112" s="2"/>
      <c r="D112" s="13"/>
      <c r="E112" s="3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4"/>
      <c r="FJ112" s="14"/>
      <c r="FK112" s="14"/>
      <c r="FL112" s="14"/>
      <c r="FM112" s="14"/>
      <c r="FN112" s="14"/>
      <c r="FO112" s="14"/>
      <c r="FP112" s="14"/>
      <c r="FQ112" s="14"/>
      <c r="FR112" s="14"/>
      <c r="FS112" s="14"/>
      <c r="FT112" s="14"/>
      <c r="FU112" s="14"/>
      <c r="FV112" s="14"/>
      <c r="FW112" s="14"/>
      <c r="FX112" s="14"/>
      <c r="FY112" s="14"/>
      <c r="FZ112" s="14"/>
      <c r="GA112" s="14"/>
      <c r="GB112" s="14"/>
      <c r="GC112" s="14"/>
      <c r="GD112" s="14"/>
      <c r="GE112" s="14"/>
      <c r="GF112" s="14"/>
      <c r="GG112" s="14"/>
      <c r="GH112" s="14"/>
      <c r="GI112" s="14"/>
      <c r="GJ112" s="14"/>
      <c r="GK112" s="14"/>
      <c r="GL112" s="14"/>
      <c r="GM112" s="14"/>
      <c r="GN112" s="14"/>
      <c r="GO112" s="14"/>
      <c r="GP112" s="14"/>
      <c r="GQ112" s="14"/>
      <c r="GR112" s="14"/>
      <c r="GS112" s="14"/>
      <c r="GT112" s="14"/>
      <c r="GU112" s="14"/>
      <c r="GV112" s="14"/>
      <c r="GW112" s="14"/>
      <c r="GX112" s="14"/>
      <c r="GY112" s="14"/>
      <c r="GZ112" s="14"/>
      <c r="HA112" s="14"/>
      <c r="HB112" s="14"/>
      <c r="HC112" s="14"/>
      <c r="HD112" s="14"/>
      <c r="HE112" s="14"/>
      <c r="HF112" s="14"/>
      <c r="HG112" s="14"/>
      <c r="HH112" s="14"/>
      <c r="HI112" s="14"/>
      <c r="HJ112" s="14"/>
      <c r="HK112" s="14"/>
      <c r="HL112" s="14"/>
      <c r="HM112" s="14"/>
      <c r="HN112" s="14"/>
      <c r="HO112" s="14"/>
      <c r="HP112" s="14"/>
      <c r="HQ112" s="14"/>
      <c r="HR112" s="14"/>
      <c r="HS112" s="14"/>
      <c r="HT112" s="14"/>
      <c r="HU112" s="14"/>
      <c r="HV112" s="14"/>
      <c r="HW112" s="14"/>
      <c r="HX112" s="14"/>
      <c r="HY112" s="14"/>
      <c r="HZ112" s="14"/>
      <c r="IA112" s="14"/>
      <c r="IB112" s="14"/>
      <c r="IC112" s="14"/>
      <c r="ID112" s="14"/>
      <c r="IE112" s="14"/>
      <c r="IF112" s="14"/>
      <c r="IG112" s="14"/>
      <c r="IH112" s="14"/>
      <c r="II112" s="14"/>
      <c r="IJ112" s="14"/>
      <c r="IK112" s="14"/>
      <c r="IL112" s="14"/>
      <c r="IM112" s="14"/>
      <c r="IN112" s="14"/>
      <c r="IO112" s="14"/>
      <c r="IP112" s="14"/>
      <c r="IQ112" s="14"/>
      <c r="IR112" s="14"/>
      <c r="IS112" s="14"/>
      <c r="IT112" s="14"/>
      <c r="IU112" s="14"/>
      <c r="IV112" s="14"/>
      <c r="IW112" s="14"/>
      <c r="IX112" s="14"/>
      <c r="IY112" s="14"/>
      <c r="IZ112" s="14"/>
      <c r="JA112" s="14"/>
      <c r="JB112" s="14"/>
      <c r="JC112" s="14"/>
      <c r="JD112" s="14"/>
      <c r="JE112" s="14"/>
      <c r="JF112" s="14"/>
      <c r="JG112" s="14"/>
      <c r="JH112" s="14"/>
      <c r="JI112" s="14"/>
      <c r="JJ112" s="14"/>
      <c r="JK112" s="14"/>
      <c r="JL112" s="14"/>
      <c r="JM112" s="14"/>
      <c r="JN112" s="14"/>
      <c r="JO112" s="14"/>
      <c r="JP112" s="14"/>
      <c r="JQ112" s="14"/>
      <c r="JR112" s="14"/>
      <c r="JS112" s="14"/>
      <c r="JT112" s="14"/>
      <c r="JU112" s="14"/>
      <c r="JV112" s="14"/>
      <c r="JW112" s="14"/>
      <c r="JX112" s="14"/>
      <c r="JY112" s="14"/>
      <c r="JZ112" s="14"/>
      <c r="KA112" s="14"/>
      <c r="KB112" s="14"/>
      <c r="KC112" s="14"/>
      <c r="KD112" s="14"/>
      <c r="KE112" s="14"/>
      <c r="KF112" s="14"/>
      <c r="KG112" s="14"/>
      <c r="KH112" s="14"/>
      <c r="KI112" s="14"/>
      <c r="KJ112" s="14"/>
      <c r="KK112" s="14"/>
      <c r="KL112" s="14"/>
      <c r="KM112" s="14"/>
      <c r="KN112" s="14"/>
      <c r="KO112" s="14"/>
      <c r="KP112" s="14"/>
      <c r="KQ112" s="14"/>
      <c r="KR112" s="14"/>
      <c r="KS112" s="14"/>
      <c r="KT112" s="14"/>
      <c r="KU112" s="14"/>
      <c r="KV112" s="14"/>
      <c r="KW112" s="14"/>
      <c r="KX112" s="14"/>
      <c r="KY112" s="14"/>
      <c r="KZ112" s="14"/>
      <c r="LA112" s="14"/>
      <c r="LB112" s="14"/>
      <c r="LC112" s="14"/>
      <c r="LD112" s="14"/>
      <c r="LE112" s="14"/>
      <c r="LF112" s="14"/>
      <c r="LG112" s="14"/>
      <c r="LH112" s="14"/>
      <c r="LI112" s="14"/>
      <c r="LJ112" s="14"/>
      <c r="LK112" s="14"/>
      <c r="LL112" s="14"/>
      <c r="LM112" s="14"/>
      <c r="LN112" s="14"/>
      <c r="LO112" s="14"/>
      <c r="LP112" s="14"/>
      <c r="LQ112" s="14"/>
      <c r="LR112" s="14"/>
      <c r="LS112" s="14"/>
      <c r="LT112" s="14"/>
      <c r="LU112" s="14"/>
      <c r="LV112" s="14"/>
      <c r="LW112" s="14"/>
      <c r="LX112" s="14"/>
      <c r="LY112" s="14"/>
      <c r="LZ112" s="14"/>
      <c r="MA112" s="14"/>
      <c r="MB112" s="14"/>
      <c r="MC112" s="14"/>
      <c r="MD112" s="14"/>
      <c r="ME112" s="14"/>
      <c r="MF112" s="14"/>
      <c r="MG112" s="14"/>
      <c r="MH112" s="14"/>
      <c r="MI112" s="14"/>
      <c r="MJ112" s="14"/>
      <c r="MK112" s="14"/>
      <c r="ML112" s="14"/>
      <c r="MM112" s="14"/>
      <c r="MN112" s="14"/>
      <c r="MO112" s="14"/>
      <c r="MP112" s="14"/>
      <c r="MQ112" s="14"/>
      <c r="MR112" s="14"/>
      <c r="MS112" s="14"/>
      <c r="MT112" s="14"/>
      <c r="MU112" s="14"/>
      <c r="MV112" s="14"/>
      <c r="MW112" s="14"/>
      <c r="MX112" s="14"/>
      <c r="MY112" s="14"/>
      <c r="MZ112" s="14"/>
      <c r="NA112" s="14"/>
      <c r="NB112" s="14"/>
      <c r="NC112" s="14"/>
      <c r="ND112" s="14"/>
      <c r="NE112" s="14"/>
      <c r="NF112" s="14"/>
      <c r="NG112" s="14"/>
      <c r="NH112" s="14"/>
      <c r="NI112" s="14"/>
      <c r="NJ112" s="14"/>
      <c r="NK112" s="14"/>
      <c r="NL112" s="14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</row>
    <row r="113" ht="13.5" customHeight="1">
      <c r="A113" s="2"/>
      <c r="B113" s="22"/>
      <c r="C113" s="2"/>
      <c r="D113" s="13"/>
      <c r="E113" s="3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4"/>
      <c r="FJ113" s="14"/>
      <c r="FK113" s="14"/>
      <c r="FL113" s="14"/>
      <c r="FM113" s="14"/>
      <c r="FN113" s="14"/>
      <c r="FO113" s="14"/>
      <c r="FP113" s="14"/>
      <c r="FQ113" s="14"/>
      <c r="FR113" s="14"/>
      <c r="FS113" s="14"/>
      <c r="FT113" s="14"/>
      <c r="FU113" s="14"/>
      <c r="FV113" s="14"/>
      <c r="FW113" s="14"/>
      <c r="FX113" s="14"/>
      <c r="FY113" s="14"/>
      <c r="FZ113" s="14"/>
      <c r="GA113" s="14"/>
      <c r="GB113" s="14"/>
      <c r="GC113" s="14"/>
      <c r="GD113" s="14"/>
      <c r="GE113" s="14"/>
      <c r="GF113" s="14"/>
      <c r="GG113" s="14"/>
      <c r="GH113" s="14"/>
      <c r="GI113" s="14"/>
      <c r="GJ113" s="14"/>
      <c r="GK113" s="14"/>
      <c r="GL113" s="14"/>
      <c r="GM113" s="14"/>
      <c r="GN113" s="14"/>
      <c r="GO113" s="14"/>
      <c r="GP113" s="14"/>
      <c r="GQ113" s="14"/>
      <c r="GR113" s="14"/>
      <c r="GS113" s="14"/>
      <c r="GT113" s="14"/>
      <c r="GU113" s="14"/>
      <c r="GV113" s="14"/>
      <c r="GW113" s="14"/>
      <c r="GX113" s="14"/>
      <c r="GY113" s="14"/>
      <c r="GZ113" s="14"/>
      <c r="HA113" s="14"/>
      <c r="HB113" s="14"/>
      <c r="HC113" s="14"/>
      <c r="HD113" s="14"/>
      <c r="HE113" s="14"/>
      <c r="HF113" s="14"/>
      <c r="HG113" s="14"/>
      <c r="HH113" s="14"/>
      <c r="HI113" s="14"/>
      <c r="HJ113" s="14"/>
      <c r="HK113" s="14"/>
      <c r="HL113" s="14"/>
      <c r="HM113" s="14"/>
      <c r="HN113" s="14"/>
      <c r="HO113" s="14"/>
      <c r="HP113" s="14"/>
      <c r="HQ113" s="14"/>
      <c r="HR113" s="14"/>
      <c r="HS113" s="14"/>
      <c r="HT113" s="14"/>
      <c r="HU113" s="14"/>
      <c r="HV113" s="14"/>
      <c r="HW113" s="14"/>
      <c r="HX113" s="14"/>
      <c r="HY113" s="14"/>
      <c r="HZ113" s="14"/>
      <c r="IA113" s="14"/>
      <c r="IB113" s="14"/>
      <c r="IC113" s="14"/>
      <c r="ID113" s="14"/>
      <c r="IE113" s="14"/>
      <c r="IF113" s="14"/>
      <c r="IG113" s="14"/>
      <c r="IH113" s="14"/>
      <c r="II113" s="14"/>
      <c r="IJ113" s="14"/>
      <c r="IK113" s="14"/>
      <c r="IL113" s="14"/>
      <c r="IM113" s="14"/>
      <c r="IN113" s="14"/>
      <c r="IO113" s="14"/>
      <c r="IP113" s="14"/>
      <c r="IQ113" s="14"/>
      <c r="IR113" s="14"/>
      <c r="IS113" s="14"/>
      <c r="IT113" s="14"/>
      <c r="IU113" s="14"/>
      <c r="IV113" s="14"/>
      <c r="IW113" s="14"/>
      <c r="IX113" s="14"/>
      <c r="IY113" s="14"/>
      <c r="IZ113" s="14"/>
      <c r="JA113" s="14"/>
      <c r="JB113" s="14"/>
      <c r="JC113" s="14"/>
      <c r="JD113" s="14"/>
      <c r="JE113" s="14"/>
      <c r="JF113" s="14"/>
      <c r="JG113" s="14"/>
      <c r="JH113" s="14"/>
      <c r="JI113" s="14"/>
      <c r="JJ113" s="14"/>
      <c r="JK113" s="14"/>
      <c r="JL113" s="14"/>
      <c r="JM113" s="14"/>
      <c r="JN113" s="14"/>
      <c r="JO113" s="14"/>
      <c r="JP113" s="14"/>
      <c r="JQ113" s="14"/>
      <c r="JR113" s="14"/>
      <c r="JS113" s="14"/>
      <c r="JT113" s="14"/>
      <c r="JU113" s="14"/>
      <c r="JV113" s="14"/>
      <c r="JW113" s="14"/>
      <c r="JX113" s="14"/>
      <c r="JY113" s="14"/>
      <c r="JZ113" s="14"/>
      <c r="KA113" s="14"/>
      <c r="KB113" s="14"/>
      <c r="KC113" s="14"/>
      <c r="KD113" s="14"/>
      <c r="KE113" s="14"/>
      <c r="KF113" s="14"/>
      <c r="KG113" s="14"/>
      <c r="KH113" s="14"/>
      <c r="KI113" s="14"/>
      <c r="KJ113" s="14"/>
      <c r="KK113" s="14"/>
      <c r="KL113" s="14"/>
      <c r="KM113" s="14"/>
      <c r="KN113" s="14"/>
      <c r="KO113" s="14"/>
      <c r="KP113" s="14"/>
      <c r="KQ113" s="14"/>
      <c r="KR113" s="14"/>
      <c r="KS113" s="14"/>
      <c r="KT113" s="14"/>
      <c r="KU113" s="14"/>
      <c r="KV113" s="14"/>
      <c r="KW113" s="14"/>
      <c r="KX113" s="14"/>
      <c r="KY113" s="14"/>
      <c r="KZ113" s="14"/>
      <c r="LA113" s="14"/>
      <c r="LB113" s="14"/>
      <c r="LC113" s="14"/>
      <c r="LD113" s="14"/>
      <c r="LE113" s="14"/>
      <c r="LF113" s="14"/>
      <c r="LG113" s="14"/>
      <c r="LH113" s="14"/>
      <c r="LI113" s="14"/>
      <c r="LJ113" s="14"/>
      <c r="LK113" s="14"/>
      <c r="LL113" s="14"/>
      <c r="LM113" s="14"/>
      <c r="LN113" s="14"/>
      <c r="LO113" s="14"/>
      <c r="LP113" s="14"/>
      <c r="LQ113" s="14"/>
      <c r="LR113" s="14"/>
      <c r="LS113" s="14"/>
      <c r="LT113" s="14"/>
      <c r="LU113" s="14"/>
      <c r="LV113" s="14"/>
      <c r="LW113" s="14"/>
      <c r="LX113" s="14"/>
      <c r="LY113" s="14"/>
      <c r="LZ113" s="14"/>
      <c r="MA113" s="14"/>
      <c r="MB113" s="14"/>
      <c r="MC113" s="14"/>
      <c r="MD113" s="14"/>
      <c r="ME113" s="14"/>
      <c r="MF113" s="14"/>
      <c r="MG113" s="14"/>
      <c r="MH113" s="14"/>
      <c r="MI113" s="14"/>
      <c r="MJ113" s="14"/>
      <c r="MK113" s="14"/>
      <c r="ML113" s="14"/>
      <c r="MM113" s="14"/>
      <c r="MN113" s="14"/>
      <c r="MO113" s="14"/>
      <c r="MP113" s="14"/>
      <c r="MQ113" s="14"/>
      <c r="MR113" s="14"/>
      <c r="MS113" s="14"/>
      <c r="MT113" s="14"/>
      <c r="MU113" s="14"/>
      <c r="MV113" s="14"/>
      <c r="MW113" s="14"/>
      <c r="MX113" s="14"/>
      <c r="MY113" s="14"/>
      <c r="MZ113" s="14"/>
      <c r="NA113" s="14"/>
      <c r="NB113" s="14"/>
      <c r="NC113" s="14"/>
      <c r="ND113" s="14"/>
      <c r="NE113" s="14"/>
      <c r="NF113" s="14"/>
      <c r="NG113" s="14"/>
      <c r="NH113" s="14"/>
      <c r="NI113" s="14"/>
      <c r="NJ113" s="14"/>
      <c r="NK113" s="14"/>
      <c r="NL113" s="14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</row>
    <row r="114" ht="13.5" customHeight="1">
      <c r="A114" s="2"/>
      <c r="B114" s="22"/>
      <c r="C114" s="2"/>
      <c r="D114" s="13"/>
      <c r="E114" s="3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4"/>
      <c r="FJ114" s="14"/>
      <c r="FK114" s="14"/>
      <c r="FL114" s="14"/>
      <c r="FM114" s="14"/>
      <c r="FN114" s="14"/>
      <c r="FO114" s="14"/>
      <c r="FP114" s="14"/>
      <c r="FQ114" s="14"/>
      <c r="FR114" s="14"/>
      <c r="FS114" s="14"/>
      <c r="FT114" s="14"/>
      <c r="FU114" s="14"/>
      <c r="FV114" s="14"/>
      <c r="FW114" s="14"/>
      <c r="FX114" s="14"/>
      <c r="FY114" s="14"/>
      <c r="FZ114" s="14"/>
      <c r="GA114" s="14"/>
      <c r="GB114" s="14"/>
      <c r="GC114" s="14"/>
      <c r="GD114" s="14"/>
      <c r="GE114" s="14"/>
      <c r="GF114" s="14"/>
      <c r="GG114" s="14"/>
      <c r="GH114" s="14"/>
      <c r="GI114" s="14"/>
      <c r="GJ114" s="14"/>
      <c r="GK114" s="14"/>
      <c r="GL114" s="14"/>
      <c r="GM114" s="14"/>
      <c r="GN114" s="14"/>
      <c r="GO114" s="14"/>
      <c r="GP114" s="14"/>
      <c r="GQ114" s="14"/>
      <c r="GR114" s="14"/>
      <c r="GS114" s="14"/>
      <c r="GT114" s="14"/>
      <c r="GU114" s="14"/>
      <c r="GV114" s="14"/>
      <c r="GW114" s="14"/>
      <c r="GX114" s="14"/>
      <c r="GY114" s="14"/>
      <c r="GZ114" s="14"/>
      <c r="HA114" s="14"/>
      <c r="HB114" s="14"/>
      <c r="HC114" s="14"/>
      <c r="HD114" s="14"/>
      <c r="HE114" s="14"/>
      <c r="HF114" s="14"/>
      <c r="HG114" s="14"/>
      <c r="HH114" s="14"/>
      <c r="HI114" s="14"/>
      <c r="HJ114" s="14"/>
      <c r="HK114" s="14"/>
      <c r="HL114" s="14"/>
      <c r="HM114" s="14"/>
      <c r="HN114" s="14"/>
      <c r="HO114" s="14"/>
      <c r="HP114" s="14"/>
      <c r="HQ114" s="14"/>
      <c r="HR114" s="14"/>
      <c r="HS114" s="14"/>
      <c r="HT114" s="14"/>
      <c r="HU114" s="14"/>
      <c r="HV114" s="14"/>
      <c r="HW114" s="14"/>
      <c r="HX114" s="14"/>
      <c r="HY114" s="14"/>
      <c r="HZ114" s="14"/>
      <c r="IA114" s="14"/>
      <c r="IB114" s="14"/>
      <c r="IC114" s="14"/>
      <c r="ID114" s="14"/>
      <c r="IE114" s="14"/>
      <c r="IF114" s="14"/>
      <c r="IG114" s="14"/>
      <c r="IH114" s="14"/>
      <c r="II114" s="14"/>
      <c r="IJ114" s="14"/>
      <c r="IK114" s="14"/>
      <c r="IL114" s="14"/>
      <c r="IM114" s="14"/>
      <c r="IN114" s="14"/>
      <c r="IO114" s="14"/>
      <c r="IP114" s="14"/>
      <c r="IQ114" s="14"/>
      <c r="IR114" s="14"/>
      <c r="IS114" s="14"/>
      <c r="IT114" s="14"/>
      <c r="IU114" s="14"/>
      <c r="IV114" s="14"/>
      <c r="IW114" s="14"/>
      <c r="IX114" s="14"/>
      <c r="IY114" s="14"/>
      <c r="IZ114" s="14"/>
      <c r="JA114" s="14"/>
      <c r="JB114" s="14"/>
      <c r="JC114" s="14"/>
      <c r="JD114" s="14"/>
      <c r="JE114" s="14"/>
      <c r="JF114" s="14"/>
      <c r="JG114" s="14"/>
      <c r="JH114" s="14"/>
      <c r="JI114" s="14"/>
      <c r="JJ114" s="14"/>
      <c r="JK114" s="14"/>
      <c r="JL114" s="14"/>
      <c r="JM114" s="14"/>
      <c r="JN114" s="14"/>
      <c r="JO114" s="14"/>
      <c r="JP114" s="14"/>
      <c r="JQ114" s="14"/>
      <c r="JR114" s="14"/>
      <c r="JS114" s="14"/>
      <c r="JT114" s="14"/>
      <c r="JU114" s="14"/>
      <c r="JV114" s="14"/>
      <c r="JW114" s="14"/>
      <c r="JX114" s="14"/>
      <c r="JY114" s="14"/>
      <c r="JZ114" s="14"/>
      <c r="KA114" s="14"/>
      <c r="KB114" s="14"/>
      <c r="KC114" s="14"/>
      <c r="KD114" s="14"/>
      <c r="KE114" s="14"/>
      <c r="KF114" s="14"/>
      <c r="KG114" s="14"/>
      <c r="KH114" s="14"/>
      <c r="KI114" s="14"/>
      <c r="KJ114" s="14"/>
      <c r="KK114" s="14"/>
      <c r="KL114" s="14"/>
      <c r="KM114" s="14"/>
      <c r="KN114" s="14"/>
      <c r="KO114" s="14"/>
      <c r="KP114" s="14"/>
      <c r="KQ114" s="14"/>
      <c r="KR114" s="14"/>
      <c r="KS114" s="14"/>
      <c r="KT114" s="14"/>
      <c r="KU114" s="14"/>
      <c r="KV114" s="14"/>
      <c r="KW114" s="14"/>
      <c r="KX114" s="14"/>
      <c r="KY114" s="14"/>
      <c r="KZ114" s="14"/>
      <c r="LA114" s="14"/>
      <c r="LB114" s="14"/>
      <c r="LC114" s="14"/>
      <c r="LD114" s="14"/>
      <c r="LE114" s="14"/>
      <c r="LF114" s="14"/>
      <c r="LG114" s="14"/>
      <c r="LH114" s="14"/>
      <c r="LI114" s="14"/>
      <c r="LJ114" s="14"/>
      <c r="LK114" s="14"/>
      <c r="LL114" s="14"/>
      <c r="LM114" s="14"/>
      <c r="LN114" s="14"/>
      <c r="LO114" s="14"/>
      <c r="LP114" s="14"/>
      <c r="LQ114" s="14"/>
      <c r="LR114" s="14"/>
      <c r="LS114" s="14"/>
      <c r="LT114" s="14"/>
      <c r="LU114" s="14"/>
      <c r="LV114" s="14"/>
      <c r="LW114" s="14"/>
      <c r="LX114" s="14"/>
      <c r="LY114" s="14"/>
      <c r="LZ114" s="14"/>
      <c r="MA114" s="14"/>
      <c r="MB114" s="14"/>
      <c r="MC114" s="14"/>
      <c r="MD114" s="14"/>
      <c r="ME114" s="14"/>
      <c r="MF114" s="14"/>
      <c r="MG114" s="14"/>
      <c r="MH114" s="14"/>
      <c r="MI114" s="14"/>
      <c r="MJ114" s="14"/>
      <c r="MK114" s="14"/>
      <c r="ML114" s="14"/>
      <c r="MM114" s="14"/>
      <c r="MN114" s="14"/>
      <c r="MO114" s="14"/>
      <c r="MP114" s="14"/>
      <c r="MQ114" s="14"/>
      <c r="MR114" s="14"/>
      <c r="MS114" s="14"/>
      <c r="MT114" s="14"/>
      <c r="MU114" s="14"/>
      <c r="MV114" s="14"/>
      <c r="MW114" s="14"/>
      <c r="MX114" s="14"/>
      <c r="MY114" s="14"/>
      <c r="MZ114" s="14"/>
      <c r="NA114" s="14"/>
      <c r="NB114" s="14"/>
      <c r="NC114" s="14"/>
      <c r="ND114" s="14"/>
      <c r="NE114" s="14"/>
      <c r="NF114" s="14"/>
      <c r="NG114" s="14"/>
      <c r="NH114" s="14"/>
      <c r="NI114" s="14"/>
      <c r="NJ114" s="14"/>
      <c r="NK114" s="14"/>
      <c r="NL114" s="14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</row>
    <row r="115" ht="13.5" customHeight="1">
      <c r="A115" s="2"/>
      <c r="B115" s="22"/>
      <c r="C115" s="2"/>
      <c r="D115" s="13"/>
      <c r="E115" s="3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4"/>
      <c r="FJ115" s="14"/>
      <c r="FK115" s="14"/>
      <c r="FL115" s="14"/>
      <c r="FM115" s="14"/>
      <c r="FN115" s="14"/>
      <c r="FO115" s="14"/>
      <c r="FP115" s="14"/>
      <c r="FQ115" s="14"/>
      <c r="FR115" s="14"/>
      <c r="FS115" s="14"/>
      <c r="FT115" s="14"/>
      <c r="FU115" s="14"/>
      <c r="FV115" s="14"/>
      <c r="FW115" s="14"/>
      <c r="FX115" s="14"/>
      <c r="FY115" s="14"/>
      <c r="FZ115" s="14"/>
      <c r="GA115" s="14"/>
      <c r="GB115" s="14"/>
      <c r="GC115" s="14"/>
      <c r="GD115" s="14"/>
      <c r="GE115" s="14"/>
      <c r="GF115" s="14"/>
      <c r="GG115" s="14"/>
      <c r="GH115" s="14"/>
      <c r="GI115" s="14"/>
      <c r="GJ115" s="14"/>
      <c r="GK115" s="14"/>
      <c r="GL115" s="14"/>
      <c r="GM115" s="14"/>
      <c r="GN115" s="14"/>
      <c r="GO115" s="14"/>
      <c r="GP115" s="14"/>
      <c r="GQ115" s="14"/>
      <c r="GR115" s="14"/>
      <c r="GS115" s="14"/>
      <c r="GT115" s="14"/>
      <c r="GU115" s="14"/>
      <c r="GV115" s="14"/>
      <c r="GW115" s="14"/>
      <c r="GX115" s="14"/>
      <c r="GY115" s="14"/>
      <c r="GZ115" s="14"/>
      <c r="HA115" s="14"/>
      <c r="HB115" s="14"/>
      <c r="HC115" s="14"/>
      <c r="HD115" s="14"/>
      <c r="HE115" s="14"/>
      <c r="HF115" s="14"/>
      <c r="HG115" s="14"/>
      <c r="HH115" s="14"/>
      <c r="HI115" s="14"/>
      <c r="HJ115" s="14"/>
      <c r="HK115" s="14"/>
      <c r="HL115" s="14"/>
      <c r="HM115" s="14"/>
      <c r="HN115" s="14"/>
      <c r="HO115" s="14"/>
      <c r="HP115" s="14"/>
      <c r="HQ115" s="14"/>
      <c r="HR115" s="14"/>
      <c r="HS115" s="14"/>
      <c r="HT115" s="14"/>
      <c r="HU115" s="14"/>
      <c r="HV115" s="14"/>
      <c r="HW115" s="14"/>
      <c r="HX115" s="14"/>
      <c r="HY115" s="14"/>
      <c r="HZ115" s="14"/>
      <c r="IA115" s="14"/>
      <c r="IB115" s="14"/>
      <c r="IC115" s="14"/>
      <c r="ID115" s="14"/>
      <c r="IE115" s="14"/>
      <c r="IF115" s="14"/>
      <c r="IG115" s="14"/>
      <c r="IH115" s="14"/>
      <c r="II115" s="14"/>
      <c r="IJ115" s="14"/>
      <c r="IK115" s="14"/>
      <c r="IL115" s="14"/>
      <c r="IM115" s="14"/>
      <c r="IN115" s="14"/>
      <c r="IO115" s="14"/>
      <c r="IP115" s="14"/>
      <c r="IQ115" s="14"/>
      <c r="IR115" s="14"/>
      <c r="IS115" s="14"/>
      <c r="IT115" s="14"/>
      <c r="IU115" s="14"/>
      <c r="IV115" s="14"/>
      <c r="IW115" s="14"/>
      <c r="IX115" s="14"/>
      <c r="IY115" s="14"/>
      <c r="IZ115" s="14"/>
      <c r="JA115" s="14"/>
      <c r="JB115" s="14"/>
      <c r="JC115" s="14"/>
      <c r="JD115" s="14"/>
      <c r="JE115" s="14"/>
      <c r="JF115" s="14"/>
      <c r="JG115" s="14"/>
      <c r="JH115" s="14"/>
      <c r="JI115" s="14"/>
      <c r="JJ115" s="14"/>
      <c r="JK115" s="14"/>
      <c r="JL115" s="14"/>
      <c r="JM115" s="14"/>
      <c r="JN115" s="14"/>
      <c r="JO115" s="14"/>
      <c r="JP115" s="14"/>
      <c r="JQ115" s="14"/>
      <c r="JR115" s="14"/>
      <c r="JS115" s="14"/>
      <c r="JT115" s="14"/>
      <c r="JU115" s="14"/>
      <c r="JV115" s="14"/>
      <c r="JW115" s="14"/>
      <c r="JX115" s="14"/>
      <c r="JY115" s="14"/>
      <c r="JZ115" s="14"/>
      <c r="KA115" s="14"/>
      <c r="KB115" s="14"/>
      <c r="KC115" s="14"/>
      <c r="KD115" s="14"/>
      <c r="KE115" s="14"/>
      <c r="KF115" s="14"/>
      <c r="KG115" s="14"/>
      <c r="KH115" s="14"/>
      <c r="KI115" s="14"/>
      <c r="KJ115" s="14"/>
      <c r="KK115" s="14"/>
      <c r="KL115" s="14"/>
      <c r="KM115" s="14"/>
      <c r="KN115" s="14"/>
      <c r="KO115" s="14"/>
      <c r="KP115" s="14"/>
      <c r="KQ115" s="14"/>
      <c r="KR115" s="14"/>
      <c r="KS115" s="14"/>
      <c r="KT115" s="14"/>
      <c r="KU115" s="14"/>
      <c r="KV115" s="14"/>
      <c r="KW115" s="14"/>
      <c r="KX115" s="14"/>
      <c r="KY115" s="14"/>
      <c r="KZ115" s="14"/>
      <c r="LA115" s="14"/>
      <c r="LB115" s="14"/>
      <c r="LC115" s="14"/>
      <c r="LD115" s="14"/>
      <c r="LE115" s="14"/>
      <c r="LF115" s="14"/>
      <c r="LG115" s="14"/>
      <c r="LH115" s="14"/>
      <c r="LI115" s="14"/>
      <c r="LJ115" s="14"/>
      <c r="LK115" s="14"/>
      <c r="LL115" s="14"/>
      <c r="LM115" s="14"/>
      <c r="LN115" s="14"/>
      <c r="LO115" s="14"/>
      <c r="LP115" s="14"/>
      <c r="LQ115" s="14"/>
      <c r="LR115" s="14"/>
      <c r="LS115" s="14"/>
      <c r="LT115" s="14"/>
      <c r="LU115" s="14"/>
      <c r="LV115" s="14"/>
      <c r="LW115" s="14"/>
      <c r="LX115" s="14"/>
      <c r="LY115" s="14"/>
      <c r="LZ115" s="14"/>
      <c r="MA115" s="14"/>
      <c r="MB115" s="14"/>
      <c r="MC115" s="14"/>
      <c r="MD115" s="14"/>
      <c r="ME115" s="14"/>
      <c r="MF115" s="14"/>
      <c r="MG115" s="14"/>
      <c r="MH115" s="14"/>
      <c r="MI115" s="14"/>
      <c r="MJ115" s="14"/>
      <c r="MK115" s="14"/>
      <c r="ML115" s="14"/>
      <c r="MM115" s="14"/>
      <c r="MN115" s="14"/>
      <c r="MO115" s="14"/>
      <c r="MP115" s="14"/>
      <c r="MQ115" s="14"/>
      <c r="MR115" s="14"/>
      <c r="MS115" s="14"/>
      <c r="MT115" s="14"/>
      <c r="MU115" s="14"/>
      <c r="MV115" s="14"/>
      <c r="MW115" s="14"/>
      <c r="MX115" s="14"/>
      <c r="MY115" s="14"/>
      <c r="MZ115" s="14"/>
      <c r="NA115" s="14"/>
      <c r="NB115" s="14"/>
      <c r="NC115" s="14"/>
      <c r="ND115" s="14"/>
      <c r="NE115" s="14"/>
      <c r="NF115" s="14"/>
      <c r="NG115" s="14"/>
      <c r="NH115" s="14"/>
      <c r="NI115" s="14"/>
      <c r="NJ115" s="14"/>
      <c r="NK115" s="14"/>
      <c r="NL115" s="14"/>
      <c r="NM115" s="3"/>
      <c r="NN115" s="3"/>
      <c r="NO115" s="3"/>
      <c r="NP115" s="3"/>
      <c r="NQ115" s="3"/>
      <c r="NR115" s="3"/>
      <c r="NS115" s="3"/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</row>
    <row r="116" ht="13.5" customHeight="1">
      <c r="A116" s="2"/>
      <c r="B116" s="22"/>
      <c r="C116" s="2"/>
      <c r="D116" s="13"/>
      <c r="E116" s="3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4"/>
      <c r="FJ116" s="14"/>
      <c r="FK116" s="14"/>
      <c r="FL116" s="14"/>
      <c r="FM116" s="14"/>
      <c r="FN116" s="14"/>
      <c r="FO116" s="14"/>
      <c r="FP116" s="14"/>
      <c r="FQ116" s="14"/>
      <c r="FR116" s="14"/>
      <c r="FS116" s="14"/>
      <c r="FT116" s="14"/>
      <c r="FU116" s="14"/>
      <c r="FV116" s="14"/>
      <c r="FW116" s="14"/>
      <c r="FX116" s="14"/>
      <c r="FY116" s="14"/>
      <c r="FZ116" s="14"/>
      <c r="GA116" s="14"/>
      <c r="GB116" s="14"/>
      <c r="GC116" s="14"/>
      <c r="GD116" s="14"/>
      <c r="GE116" s="14"/>
      <c r="GF116" s="14"/>
      <c r="GG116" s="14"/>
      <c r="GH116" s="14"/>
      <c r="GI116" s="14"/>
      <c r="GJ116" s="14"/>
      <c r="GK116" s="14"/>
      <c r="GL116" s="14"/>
      <c r="GM116" s="14"/>
      <c r="GN116" s="14"/>
      <c r="GO116" s="14"/>
      <c r="GP116" s="14"/>
      <c r="GQ116" s="14"/>
      <c r="GR116" s="14"/>
      <c r="GS116" s="14"/>
      <c r="GT116" s="14"/>
      <c r="GU116" s="14"/>
      <c r="GV116" s="14"/>
      <c r="GW116" s="14"/>
      <c r="GX116" s="14"/>
      <c r="GY116" s="14"/>
      <c r="GZ116" s="14"/>
      <c r="HA116" s="14"/>
      <c r="HB116" s="14"/>
      <c r="HC116" s="14"/>
      <c r="HD116" s="14"/>
      <c r="HE116" s="14"/>
      <c r="HF116" s="14"/>
      <c r="HG116" s="14"/>
      <c r="HH116" s="14"/>
      <c r="HI116" s="14"/>
      <c r="HJ116" s="14"/>
      <c r="HK116" s="14"/>
      <c r="HL116" s="14"/>
      <c r="HM116" s="14"/>
      <c r="HN116" s="14"/>
      <c r="HO116" s="14"/>
      <c r="HP116" s="14"/>
      <c r="HQ116" s="14"/>
      <c r="HR116" s="14"/>
      <c r="HS116" s="14"/>
      <c r="HT116" s="14"/>
      <c r="HU116" s="14"/>
      <c r="HV116" s="14"/>
      <c r="HW116" s="14"/>
      <c r="HX116" s="14"/>
      <c r="HY116" s="14"/>
      <c r="HZ116" s="14"/>
      <c r="IA116" s="14"/>
      <c r="IB116" s="14"/>
      <c r="IC116" s="14"/>
      <c r="ID116" s="14"/>
      <c r="IE116" s="14"/>
      <c r="IF116" s="14"/>
      <c r="IG116" s="14"/>
      <c r="IH116" s="14"/>
      <c r="II116" s="14"/>
      <c r="IJ116" s="14"/>
      <c r="IK116" s="14"/>
      <c r="IL116" s="14"/>
      <c r="IM116" s="14"/>
      <c r="IN116" s="14"/>
      <c r="IO116" s="14"/>
      <c r="IP116" s="14"/>
      <c r="IQ116" s="14"/>
      <c r="IR116" s="14"/>
      <c r="IS116" s="14"/>
      <c r="IT116" s="14"/>
      <c r="IU116" s="14"/>
      <c r="IV116" s="14"/>
      <c r="IW116" s="14"/>
      <c r="IX116" s="14"/>
      <c r="IY116" s="14"/>
      <c r="IZ116" s="14"/>
      <c r="JA116" s="14"/>
      <c r="JB116" s="14"/>
      <c r="JC116" s="14"/>
      <c r="JD116" s="14"/>
      <c r="JE116" s="14"/>
      <c r="JF116" s="14"/>
      <c r="JG116" s="14"/>
      <c r="JH116" s="14"/>
      <c r="JI116" s="14"/>
      <c r="JJ116" s="14"/>
      <c r="JK116" s="14"/>
      <c r="JL116" s="14"/>
      <c r="JM116" s="14"/>
      <c r="JN116" s="14"/>
      <c r="JO116" s="14"/>
      <c r="JP116" s="14"/>
      <c r="JQ116" s="14"/>
      <c r="JR116" s="14"/>
      <c r="JS116" s="14"/>
      <c r="JT116" s="14"/>
      <c r="JU116" s="14"/>
      <c r="JV116" s="14"/>
      <c r="JW116" s="14"/>
      <c r="JX116" s="14"/>
      <c r="JY116" s="14"/>
      <c r="JZ116" s="14"/>
      <c r="KA116" s="14"/>
      <c r="KB116" s="14"/>
      <c r="KC116" s="14"/>
      <c r="KD116" s="14"/>
      <c r="KE116" s="14"/>
      <c r="KF116" s="14"/>
      <c r="KG116" s="14"/>
      <c r="KH116" s="14"/>
      <c r="KI116" s="14"/>
      <c r="KJ116" s="14"/>
      <c r="KK116" s="14"/>
      <c r="KL116" s="14"/>
      <c r="KM116" s="14"/>
      <c r="KN116" s="14"/>
      <c r="KO116" s="14"/>
      <c r="KP116" s="14"/>
      <c r="KQ116" s="14"/>
      <c r="KR116" s="14"/>
      <c r="KS116" s="14"/>
      <c r="KT116" s="14"/>
      <c r="KU116" s="14"/>
      <c r="KV116" s="14"/>
      <c r="KW116" s="14"/>
      <c r="KX116" s="14"/>
      <c r="KY116" s="14"/>
      <c r="KZ116" s="14"/>
      <c r="LA116" s="14"/>
      <c r="LB116" s="14"/>
      <c r="LC116" s="14"/>
      <c r="LD116" s="14"/>
      <c r="LE116" s="14"/>
      <c r="LF116" s="14"/>
      <c r="LG116" s="14"/>
      <c r="LH116" s="14"/>
      <c r="LI116" s="14"/>
      <c r="LJ116" s="14"/>
      <c r="LK116" s="14"/>
      <c r="LL116" s="14"/>
      <c r="LM116" s="14"/>
      <c r="LN116" s="14"/>
      <c r="LO116" s="14"/>
      <c r="LP116" s="14"/>
      <c r="LQ116" s="14"/>
      <c r="LR116" s="14"/>
      <c r="LS116" s="14"/>
      <c r="LT116" s="14"/>
      <c r="LU116" s="14"/>
      <c r="LV116" s="14"/>
      <c r="LW116" s="14"/>
      <c r="LX116" s="14"/>
      <c r="LY116" s="14"/>
      <c r="LZ116" s="14"/>
      <c r="MA116" s="14"/>
      <c r="MB116" s="14"/>
      <c r="MC116" s="14"/>
      <c r="MD116" s="14"/>
      <c r="ME116" s="14"/>
      <c r="MF116" s="14"/>
      <c r="MG116" s="14"/>
      <c r="MH116" s="14"/>
      <c r="MI116" s="14"/>
      <c r="MJ116" s="14"/>
      <c r="MK116" s="14"/>
      <c r="ML116" s="14"/>
      <c r="MM116" s="14"/>
      <c r="MN116" s="14"/>
      <c r="MO116" s="14"/>
      <c r="MP116" s="14"/>
      <c r="MQ116" s="14"/>
      <c r="MR116" s="14"/>
      <c r="MS116" s="14"/>
      <c r="MT116" s="14"/>
      <c r="MU116" s="14"/>
      <c r="MV116" s="14"/>
      <c r="MW116" s="14"/>
      <c r="MX116" s="14"/>
      <c r="MY116" s="14"/>
      <c r="MZ116" s="14"/>
      <c r="NA116" s="14"/>
      <c r="NB116" s="14"/>
      <c r="NC116" s="14"/>
      <c r="ND116" s="14"/>
      <c r="NE116" s="14"/>
      <c r="NF116" s="14"/>
      <c r="NG116" s="14"/>
      <c r="NH116" s="14"/>
      <c r="NI116" s="14"/>
      <c r="NJ116" s="14"/>
      <c r="NK116" s="14"/>
      <c r="NL116" s="14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</row>
    <row r="117" ht="13.5" customHeight="1">
      <c r="A117" s="2"/>
      <c r="B117" s="22"/>
      <c r="C117" s="2"/>
      <c r="D117" s="13"/>
      <c r="E117" s="3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4"/>
      <c r="FJ117" s="14"/>
      <c r="FK117" s="14"/>
      <c r="FL117" s="14"/>
      <c r="FM117" s="14"/>
      <c r="FN117" s="14"/>
      <c r="FO117" s="14"/>
      <c r="FP117" s="14"/>
      <c r="FQ117" s="14"/>
      <c r="FR117" s="14"/>
      <c r="FS117" s="14"/>
      <c r="FT117" s="14"/>
      <c r="FU117" s="14"/>
      <c r="FV117" s="14"/>
      <c r="FW117" s="14"/>
      <c r="FX117" s="14"/>
      <c r="FY117" s="14"/>
      <c r="FZ117" s="14"/>
      <c r="GA117" s="14"/>
      <c r="GB117" s="14"/>
      <c r="GC117" s="14"/>
      <c r="GD117" s="14"/>
      <c r="GE117" s="14"/>
      <c r="GF117" s="14"/>
      <c r="GG117" s="14"/>
      <c r="GH117" s="14"/>
      <c r="GI117" s="14"/>
      <c r="GJ117" s="14"/>
      <c r="GK117" s="14"/>
      <c r="GL117" s="14"/>
      <c r="GM117" s="14"/>
      <c r="GN117" s="14"/>
      <c r="GO117" s="14"/>
      <c r="GP117" s="14"/>
      <c r="GQ117" s="14"/>
      <c r="GR117" s="14"/>
      <c r="GS117" s="14"/>
      <c r="GT117" s="14"/>
      <c r="GU117" s="14"/>
      <c r="GV117" s="14"/>
      <c r="GW117" s="14"/>
      <c r="GX117" s="14"/>
      <c r="GY117" s="14"/>
      <c r="GZ117" s="14"/>
      <c r="HA117" s="14"/>
      <c r="HB117" s="14"/>
      <c r="HC117" s="14"/>
      <c r="HD117" s="14"/>
      <c r="HE117" s="14"/>
      <c r="HF117" s="14"/>
      <c r="HG117" s="14"/>
      <c r="HH117" s="14"/>
      <c r="HI117" s="14"/>
      <c r="HJ117" s="14"/>
      <c r="HK117" s="14"/>
      <c r="HL117" s="14"/>
      <c r="HM117" s="14"/>
      <c r="HN117" s="14"/>
      <c r="HO117" s="14"/>
      <c r="HP117" s="14"/>
      <c r="HQ117" s="14"/>
      <c r="HR117" s="14"/>
      <c r="HS117" s="14"/>
      <c r="HT117" s="14"/>
      <c r="HU117" s="14"/>
      <c r="HV117" s="14"/>
      <c r="HW117" s="14"/>
      <c r="HX117" s="14"/>
      <c r="HY117" s="14"/>
      <c r="HZ117" s="14"/>
      <c r="IA117" s="14"/>
      <c r="IB117" s="14"/>
      <c r="IC117" s="14"/>
      <c r="ID117" s="14"/>
      <c r="IE117" s="14"/>
      <c r="IF117" s="14"/>
      <c r="IG117" s="14"/>
      <c r="IH117" s="14"/>
      <c r="II117" s="14"/>
      <c r="IJ117" s="14"/>
      <c r="IK117" s="14"/>
      <c r="IL117" s="14"/>
      <c r="IM117" s="14"/>
      <c r="IN117" s="14"/>
      <c r="IO117" s="14"/>
      <c r="IP117" s="14"/>
      <c r="IQ117" s="14"/>
      <c r="IR117" s="14"/>
      <c r="IS117" s="14"/>
      <c r="IT117" s="14"/>
      <c r="IU117" s="14"/>
      <c r="IV117" s="14"/>
      <c r="IW117" s="14"/>
      <c r="IX117" s="14"/>
      <c r="IY117" s="14"/>
      <c r="IZ117" s="14"/>
      <c r="JA117" s="14"/>
      <c r="JB117" s="14"/>
      <c r="JC117" s="14"/>
      <c r="JD117" s="14"/>
      <c r="JE117" s="14"/>
      <c r="JF117" s="14"/>
      <c r="JG117" s="14"/>
      <c r="JH117" s="14"/>
      <c r="JI117" s="14"/>
      <c r="JJ117" s="14"/>
      <c r="JK117" s="14"/>
      <c r="JL117" s="14"/>
      <c r="JM117" s="14"/>
      <c r="JN117" s="14"/>
      <c r="JO117" s="14"/>
      <c r="JP117" s="14"/>
      <c r="JQ117" s="14"/>
      <c r="JR117" s="14"/>
      <c r="JS117" s="14"/>
      <c r="JT117" s="14"/>
      <c r="JU117" s="14"/>
      <c r="JV117" s="14"/>
      <c r="JW117" s="14"/>
      <c r="JX117" s="14"/>
      <c r="JY117" s="14"/>
      <c r="JZ117" s="14"/>
      <c r="KA117" s="14"/>
      <c r="KB117" s="14"/>
      <c r="KC117" s="14"/>
      <c r="KD117" s="14"/>
      <c r="KE117" s="14"/>
      <c r="KF117" s="14"/>
      <c r="KG117" s="14"/>
      <c r="KH117" s="14"/>
      <c r="KI117" s="14"/>
      <c r="KJ117" s="14"/>
      <c r="KK117" s="14"/>
      <c r="KL117" s="14"/>
      <c r="KM117" s="14"/>
      <c r="KN117" s="14"/>
      <c r="KO117" s="14"/>
      <c r="KP117" s="14"/>
      <c r="KQ117" s="14"/>
      <c r="KR117" s="14"/>
      <c r="KS117" s="14"/>
      <c r="KT117" s="14"/>
      <c r="KU117" s="14"/>
      <c r="KV117" s="14"/>
      <c r="KW117" s="14"/>
      <c r="KX117" s="14"/>
      <c r="KY117" s="14"/>
      <c r="KZ117" s="14"/>
      <c r="LA117" s="14"/>
      <c r="LB117" s="14"/>
      <c r="LC117" s="14"/>
      <c r="LD117" s="14"/>
      <c r="LE117" s="14"/>
      <c r="LF117" s="14"/>
      <c r="LG117" s="14"/>
      <c r="LH117" s="14"/>
      <c r="LI117" s="14"/>
      <c r="LJ117" s="14"/>
      <c r="LK117" s="14"/>
      <c r="LL117" s="14"/>
      <c r="LM117" s="14"/>
      <c r="LN117" s="14"/>
      <c r="LO117" s="14"/>
      <c r="LP117" s="14"/>
      <c r="LQ117" s="14"/>
      <c r="LR117" s="14"/>
      <c r="LS117" s="14"/>
      <c r="LT117" s="14"/>
      <c r="LU117" s="14"/>
      <c r="LV117" s="14"/>
      <c r="LW117" s="14"/>
      <c r="LX117" s="14"/>
      <c r="LY117" s="14"/>
      <c r="LZ117" s="14"/>
      <c r="MA117" s="14"/>
      <c r="MB117" s="14"/>
      <c r="MC117" s="14"/>
      <c r="MD117" s="14"/>
      <c r="ME117" s="14"/>
      <c r="MF117" s="14"/>
      <c r="MG117" s="14"/>
      <c r="MH117" s="14"/>
      <c r="MI117" s="14"/>
      <c r="MJ117" s="14"/>
      <c r="MK117" s="14"/>
      <c r="ML117" s="14"/>
      <c r="MM117" s="14"/>
      <c r="MN117" s="14"/>
      <c r="MO117" s="14"/>
      <c r="MP117" s="14"/>
      <c r="MQ117" s="14"/>
      <c r="MR117" s="14"/>
      <c r="MS117" s="14"/>
      <c r="MT117" s="14"/>
      <c r="MU117" s="14"/>
      <c r="MV117" s="14"/>
      <c r="MW117" s="14"/>
      <c r="MX117" s="14"/>
      <c r="MY117" s="14"/>
      <c r="MZ117" s="14"/>
      <c r="NA117" s="14"/>
      <c r="NB117" s="14"/>
      <c r="NC117" s="14"/>
      <c r="ND117" s="14"/>
      <c r="NE117" s="14"/>
      <c r="NF117" s="14"/>
      <c r="NG117" s="14"/>
      <c r="NH117" s="14"/>
      <c r="NI117" s="14"/>
      <c r="NJ117" s="14"/>
      <c r="NK117" s="14"/>
      <c r="NL117" s="14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</row>
    <row r="118" ht="13.5" customHeight="1">
      <c r="A118" s="2"/>
      <c r="B118" s="22"/>
      <c r="C118" s="2"/>
      <c r="D118" s="13"/>
      <c r="E118" s="3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  <c r="FL118" s="14"/>
      <c r="FM118" s="14"/>
      <c r="FN118" s="14"/>
      <c r="FO118" s="14"/>
      <c r="FP118" s="14"/>
      <c r="FQ118" s="14"/>
      <c r="FR118" s="14"/>
      <c r="FS118" s="14"/>
      <c r="FT118" s="14"/>
      <c r="FU118" s="14"/>
      <c r="FV118" s="14"/>
      <c r="FW118" s="14"/>
      <c r="FX118" s="14"/>
      <c r="FY118" s="14"/>
      <c r="FZ118" s="14"/>
      <c r="GA118" s="14"/>
      <c r="GB118" s="14"/>
      <c r="GC118" s="14"/>
      <c r="GD118" s="14"/>
      <c r="GE118" s="14"/>
      <c r="GF118" s="14"/>
      <c r="GG118" s="14"/>
      <c r="GH118" s="14"/>
      <c r="GI118" s="14"/>
      <c r="GJ118" s="14"/>
      <c r="GK118" s="14"/>
      <c r="GL118" s="14"/>
      <c r="GM118" s="14"/>
      <c r="GN118" s="14"/>
      <c r="GO118" s="14"/>
      <c r="GP118" s="14"/>
      <c r="GQ118" s="14"/>
      <c r="GR118" s="14"/>
      <c r="GS118" s="14"/>
      <c r="GT118" s="14"/>
      <c r="GU118" s="14"/>
      <c r="GV118" s="14"/>
      <c r="GW118" s="14"/>
      <c r="GX118" s="14"/>
      <c r="GY118" s="14"/>
      <c r="GZ118" s="14"/>
      <c r="HA118" s="14"/>
      <c r="HB118" s="14"/>
      <c r="HC118" s="14"/>
      <c r="HD118" s="14"/>
      <c r="HE118" s="14"/>
      <c r="HF118" s="14"/>
      <c r="HG118" s="14"/>
      <c r="HH118" s="14"/>
      <c r="HI118" s="14"/>
      <c r="HJ118" s="14"/>
      <c r="HK118" s="14"/>
      <c r="HL118" s="14"/>
      <c r="HM118" s="14"/>
      <c r="HN118" s="14"/>
      <c r="HO118" s="14"/>
      <c r="HP118" s="14"/>
      <c r="HQ118" s="14"/>
      <c r="HR118" s="14"/>
      <c r="HS118" s="14"/>
      <c r="HT118" s="14"/>
      <c r="HU118" s="14"/>
      <c r="HV118" s="14"/>
      <c r="HW118" s="14"/>
      <c r="HX118" s="14"/>
      <c r="HY118" s="14"/>
      <c r="HZ118" s="14"/>
      <c r="IA118" s="14"/>
      <c r="IB118" s="14"/>
      <c r="IC118" s="14"/>
      <c r="ID118" s="14"/>
      <c r="IE118" s="14"/>
      <c r="IF118" s="14"/>
      <c r="IG118" s="14"/>
      <c r="IH118" s="14"/>
      <c r="II118" s="14"/>
      <c r="IJ118" s="14"/>
      <c r="IK118" s="14"/>
      <c r="IL118" s="14"/>
      <c r="IM118" s="14"/>
      <c r="IN118" s="14"/>
      <c r="IO118" s="14"/>
      <c r="IP118" s="14"/>
      <c r="IQ118" s="14"/>
      <c r="IR118" s="14"/>
      <c r="IS118" s="14"/>
      <c r="IT118" s="14"/>
      <c r="IU118" s="14"/>
      <c r="IV118" s="14"/>
      <c r="IW118" s="14"/>
      <c r="IX118" s="14"/>
      <c r="IY118" s="14"/>
      <c r="IZ118" s="14"/>
      <c r="JA118" s="14"/>
      <c r="JB118" s="14"/>
      <c r="JC118" s="14"/>
      <c r="JD118" s="14"/>
      <c r="JE118" s="14"/>
      <c r="JF118" s="14"/>
      <c r="JG118" s="14"/>
      <c r="JH118" s="14"/>
      <c r="JI118" s="14"/>
      <c r="JJ118" s="14"/>
      <c r="JK118" s="14"/>
      <c r="JL118" s="14"/>
      <c r="JM118" s="14"/>
      <c r="JN118" s="14"/>
      <c r="JO118" s="14"/>
      <c r="JP118" s="14"/>
      <c r="JQ118" s="14"/>
      <c r="JR118" s="14"/>
      <c r="JS118" s="14"/>
      <c r="JT118" s="14"/>
      <c r="JU118" s="14"/>
      <c r="JV118" s="14"/>
      <c r="JW118" s="14"/>
      <c r="JX118" s="14"/>
      <c r="JY118" s="14"/>
      <c r="JZ118" s="14"/>
      <c r="KA118" s="14"/>
      <c r="KB118" s="14"/>
      <c r="KC118" s="14"/>
      <c r="KD118" s="14"/>
      <c r="KE118" s="14"/>
      <c r="KF118" s="14"/>
      <c r="KG118" s="14"/>
      <c r="KH118" s="14"/>
      <c r="KI118" s="14"/>
      <c r="KJ118" s="14"/>
      <c r="KK118" s="14"/>
      <c r="KL118" s="14"/>
      <c r="KM118" s="14"/>
      <c r="KN118" s="14"/>
      <c r="KO118" s="14"/>
      <c r="KP118" s="14"/>
      <c r="KQ118" s="14"/>
      <c r="KR118" s="14"/>
      <c r="KS118" s="14"/>
      <c r="KT118" s="14"/>
      <c r="KU118" s="14"/>
      <c r="KV118" s="14"/>
      <c r="KW118" s="14"/>
      <c r="KX118" s="14"/>
      <c r="KY118" s="14"/>
      <c r="KZ118" s="14"/>
      <c r="LA118" s="14"/>
      <c r="LB118" s="14"/>
      <c r="LC118" s="14"/>
      <c r="LD118" s="14"/>
      <c r="LE118" s="14"/>
      <c r="LF118" s="14"/>
      <c r="LG118" s="14"/>
      <c r="LH118" s="14"/>
      <c r="LI118" s="14"/>
      <c r="LJ118" s="14"/>
      <c r="LK118" s="14"/>
      <c r="LL118" s="14"/>
      <c r="LM118" s="14"/>
      <c r="LN118" s="14"/>
      <c r="LO118" s="14"/>
      <c r="LP118" s="14"/>
      <c r="LQ118" s="14"/>
      <c r="LR118" s="14"/>
      <c r="LS118" s="14"/>
      <c r="LT118" s="14"/>
      <c r="LU118" s="14"/>
      <c r="LV118" s="14"/>
      <c r="LW118" s="14"/>
      <c r="LX118" s="14"/>
      <c r="LY118" s="14"/>
      <c r="LZ118" s="14"/>
      <c r="MA118" s="14"/>
      <c r="MB118" s="14"/>
      <c r="MC118" s="14"/>
      <c r="MD118" s="14"/>
      <c r="ME118" s="14"/>
      <c r="MF118" s="14"/>
      <c r="MG118" s="14"/>
      <c r="MH118" s="14"/>
      <c r="MI118" s="14"/>
      <c r="MJ118" s="14"/>
      <c r="MK118" s="14"/>
      <c r="ML118" s="14"/>
      <c r="MM118" s="14"/>
      <c r="MN118" s="14"/>
      <c r="MO118" s="14"/>
      <c r="MP118" s="14"/>
      <c r="MQ118" s="14"/>
      <c r="MR118" s="14"/>
      <c r="MS118" s="14"/>
      <c r="MT118" s="14"/>
      <c r="MU118" s="14"/>
      <c r="MV118" s="14"/>
      <c r="MW118" s="14"/>
      <c r="MX118" s="14"/>
      <c r="MY118" s="14"/>
      <c r="MZ118" s="14"/>
      <c r="NA118" s="14"/>
      <c r="NB118" s="14"/>
      <c r="NC118" s="14"/>
      <c r="ND118" s="14"/>
      <c r="NE118" s="14"/>
      <c r="NF118" s="14"/>
      <c r="NG118" s="14"/>
      <c r="NH118" s="14"/>
      <c r="NI118" s="14"/>
      <c r="NJ118" s="14"/>
      <c r="NK118" s="14"/>
      <c r="NL118" s="14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</row>
    <row r="119" ht="13.5" customHeight="1">
      <c r="A119" s="2"/>
      <c r="B119" s="22"/>
      <c r="C119" s="2"/>
      <c r="D119" s="13"/>
      <c r="E119" s="3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4"/>
      <c r="FJ119" s="14"/>
      <c r="FK119" s="14"/>
      <c r="FL119" s="14"/>
      <c r="FM119" s="14"/>
      <c r="FN119" s="14"/>
      <c r="FO119" s="14"/>
      <c r="FP119" s="14"/>
      <c r="FQ119" s="14"/>
      <c r="FR119" s="14"/>
      <c r="FS119" s="14"/>
      <c r="FT119" s="14"/>
      <c r="FU119" s="14"/>
      <c r="FV119" s="14"/>
      <c r="FW119" s="14"/>
      <c r="FX119" s="14"/>
      <c r="FY119" s="14"/>
      <c r="FZ119" s="14"/>
      <c r="GA119" s="14"/>
      <c r="GB119" s="14"/>
      <c r="GC119" s="14"/>
      <c r="GD119" s="14"/>
      <c r="GE119" s="14"/>
      <c r="GF119" s="14"/>
      <c r="GG119" s="14"/>
      <c r="GH119" s="14"/>
      <c r="GI119" s="14"/>
      <c r="GJ119" s="14"/>
      <c r="GK119" s="14"/>
      <c r="GL119" s="14"/>
      <c r="GM119" s="14"/>
      <c r="GN119" s="14"/>
      <c r="GO119" s="14"/>
      <c r="GP119" s="14"/>
      <c r="GQ119" s="14"/>
      <c r="GR119" s="14"/>
      <c r="GS119" s="14"/>
      <c r="GT119" s="14"/>
      <c r="GU119" s="14"/>
      <c r="GV119" s="14"/>
      <c r="GW119" s="14"/>
      <c r="GX119" s="14"/>
      <c r="GY119" s="14"/>
      <c r="GZ119" s="14"/>
      <c r="HA119" s="14"/>
      <c r="HB119" s="14"/>
      <c r="HC119" s="14"/>
      <c r="HD119" s="14"/>
      <c r="HE119" s="14"/>
      <c r="HF119" s="14"/>
      <c r="HG119" s="14"/>
      <c r="HH119" s="14"/>
      <c r="HI119" s="14"/>
      <c r="HJ119" s="14"/>
      <c r="HK119" s="14"/>
      <c r="HL119" s="14"/>
      <c r="HM119" s="14"/>
      <c r="HN119" s="14"/>
      <c r="HO119" s="14"/>
      <c r="HP119" s="14"/>
      <c r="HQ119" s="14"/>
      <c r="HR119" s="14"/>
      <c r="HS119" s="14"/>
      <c r="HT119" s="14"/>
      <c r="HU119" s="14"/>
      <c r="HV119" s="14"/>
      <c r="HW119" s="14"/>
      <c r="HX119" s="14"/>
      <c r="HY119" s="14"/>
      <c r="HZ119" s="14"/>
      <c r="IA119" s="14"/>
      <c r="IB119" s="14"/>
      <c r="IC119" s="14"/>
      <c r="ID119" s="14"/>
      <c r="IE119" s="14"/>
      <c r="IF119" s="14"/>
      <c r="IG119" s="14"/>
      <c r="IH119" s="14"/>
      <c r="II119" s="14"/>
      <c r="IJ119" s="14"/>
      <c r="IK119" s="14"/>
      <c r="IL119" s="14"/>
      <c r="IM119" s="14"/>
      <c r="IN119" s="14"/>
      <c r="IO119" s="14"/>
      <c r="IP119" s="14"/>
      <c r="IQ119" s="14"/>
      <c r="IR119" s="14"/>
      <c r="IS119" s="14"/>
      <c r="IT119" s="14"/>
      <c r="IU119" s="14"/>
      <c r="IV119" s="14"/>
      <c r="IW119" s="14"/>
      <c r="IX119" s="14"/>
      <c r="IY119" s="14"/>
      <c r="IZ119" s="14"/>
      <c r="JA119" s="14"/>
      <c r="JB119" s="14"/>
      <c r="JC119" s="14"/>
      <c r="JD119" s="14"/>
      <c r="JE119" s="14"/>
      <c r="JF119" s="14"/>
      <c r="JG119" s="14"/>
      <c r="JH119" s="14"/>
      <c r="JI119" s="14"/>
      <c r="JJ119" s="14"/>
      <c r="JK119" s="14"/>
      <c r="JL119" s="14"/>
      <c r="JM119" s="14"/>
      <c r="JN119" s="14"/>
      <c r="JO119" s="14"/>
      <c r="JP119" s="14"/>
      <c r="JQ119" s="14"/>
      <c r="JR119" s="14"/>
      <c r="JS119" s="14"/>
      <c r="JT119" s="14"/>
      <c r="JU119" s="14"/>
      <c r="JV119" s="14"/>
      <c r="JW119" s="14"/>
      <c r="JX119" s="14"/>
      <c r="JY119" s="14"/>
      <c r="JZ119" s="14"/>
      <c r="KA119" s="14"/>
      <c r="KB119" s="14"/>
      <c r="KC119" s="14"/>
      <c r="KD119" s="14"/>
      <c r="KE119" s="14"/>
      <c r="KF119" s="14"/>
      <c r="KG119" s="14"/>
      <c r="KH119" s="14"/>
      <c r="KI119" s="14"/>
      <c r="KJ119" s="14"/>
      <c r="KK119" s="14"/>
      <c r="KL119" s="14"/>
      <c r="KM119" s="14"/>
      <c r="KN119" s="14"/>
      <c r="KO119" s="14"/>
      <c r="KP119" s="14"/>
      <c r="KQ119" s="14"/>
      <c r="KR119" s="14"/>
      <c r="KS119" s="14"/>
      <c r="KT119" s="14"/>
      <c r="KU119" s="14"/>
      <c r="KV119" s="14"/>
      <c r="KW119" s="14"/>
      <c r="KX119" s="14"/>
      <c r="KY119" s="14"/>
      <c r="KZ119" s="14"/>
      <c r="LA119" s="14"/>
      <c r="LB119" s="14"/>
      <c r="LC119" s="14"/>
      <c r="LD119" s="14"/>
      <c r="LE119" s="14"/>
      <c r="LF119" s="14"/>
      <c r="LG119" s="14"/>
      <c r="LH119" s="14"/>
      <c r="LI119" s="14"/>
      <c r="LJ119" s="14"/>
      <c r="LK119" s="14"/>
      <c r="LL119" s="14"/>
      <c r="LM119" s="14"/>
      <c r="LN119" s="14"/>
      <c r="LO119" s="14"/>
      <c r="LP119" s="14"/>
      <c r="LQ119" s="14"/>
      <c r="LR119" s="14"/>
      <c r="LS119" s="14"/>
      <c r="LT119" s="14"/>
      <c r="LU119" s="14"/>
      <c r="LV119" s="14"/>
      <c r="LW119" s="14"/>
      <c r="LX119" s="14"/>
      <c r="LY119" s="14"/>
      <c r="LZ119" s="14"/>
      <c r="MA119" s="14"/>
      <c r="MB119" s="14"/>
      <c r="MC119" s="14"/>
      <c r="MD119" s="14"/>
      <c r="ME119" s="14"/>
      <c r="MF119" s="14"/>
      <c r="MG119" s="14"/>
      <c r="MH119" s="14"/>
      <c r="MI119" s="14"/>
      <c r="MJ119" s="14"/>
      <c r="MK119" s="14"/>
      <c r="ML119" s="14"/>
      <c r="MM119" s="14"/>
      <c r="MN119" s="14"/>
      <c r="MO119" s="14"/>
      <c r="MP119" s="14"/>
      <c r="MQ119" s="14"/>
      <c r="MR119" s="14"/>
      <c r="MS119" s="14"/>
      <c r="MT119" s="14"/>
      <c r="MU119" s="14"/>
      <c r="MV119" s="14"/>
      <c r="MW119" s="14"/>
      <c r="MX119" s="14"/>
      <c r="MY119" s="14"/>
      <c r="MZ119" s="14"/>
      <c r="NA119" s="14"/>
      <c r="NB119" s="14"/>
      <c r="NC119" s="14"/>
      <c r="ND119" s="14"/>
      <c r="NE119" s="14"/>
      <c r="NF119" s="14"/>
      <c r="NG119" s="14"/>
      <c r="NH119" s="14"/>
      <c r="NI119" s="14"/>
      <c r="NJ119" s="14"/>
      <c r="NK119" s="14"/>
      <c r="NL119" s="14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</row>
    <row r="120" ht="13.5" customHeight="1">
      <c r="A120" s="2"/>
      <c r="B120" s="22"/>
      <c r="C120" s="2"/>
      <c r="D120" s="13"/>
      <c r="E120" s="3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4"/>
      <c r="FJ120" s="14"/>
      <c r="FK120" s="14"/>
      <c r="FL120" s="14"/>
      <c r="FM120" s="14"/>
      <c r="FN120" s="14"/>
      <c r="FO120" s="14"/>
      <c r="FP120" s="14"/>
      <c r="FQ120" s="14"/>
      <c r="FR120" s="14"/>
      <c r="FS120" s="14"/>
      <c r="FT120" s="14"/>
      <c r="FU120" s="14"/>
      <c r="FV120" s="14"/>
      <c r="FW120" s="14"/>
      <c r="FX120" s="14"/>
      <c r="FY120" s="14"/>
      <c r="FZ120" s="14"/>
      <c r="GA120" s="14"/>
      <c r="GB120" s="14"/>
      <c r="GC120" s="14"/>
      <c r="GD120" s="14"/>
      <c r="GE120" s="14"/>
      <c r="GF120" s="14"/>
      <c r="GG120" s="14"/>
      <c r="GH120" s="14"/>
      <c r="GI120" s="14"/>
      <c r="GJ120" s="14"/>
      <c r="GK120" s="14"/>
      <c r="GL120" s="14"/>
      <c r="GM120" s="14"/>
      <c r="GN120" s="14"/>
      <c r="GO120" s="14"/>
      <c r="GP120" s="14"/>
      <c r="GQ120" s="14"/>
      <c r="GR120" s="14"/>
      <c r="GS120" s="14"/>
      <c r="GT120" s="14"/>
      <c r="GU120" s="14"/>
      <c r="GV120" s="14"/>
      <c r="GW120" s="14"/>
      <c r="GX120" s="14"/>
      <c r="GY120" s="14"/>
      <c r="GZ120" s="14"/>
      <c r="HA120" s="14"/>
      <c r="HB120" s="14"/>
      <c r="HC120" s="14"/>
      <c r="HD120" s="14"/>
      <c r="HE120" s="14"/>
      <c r="HF120" s="14"/>
      <c r="HG120" s="14"/>
      <c r="HH120" s="14"/>
      <c r="HI120" s="14"/>
      <c r="HJ120" s="14"/>
      <c r="HK120" s="14"/>
      <c r="HL120" s="14"/>
      <c r="HM120" s="14"/>
      <c r="HN120" s="14"/>
      <c r="HO120" s="14"/>
      <c r="HP120" s="14"/>
      <c r="HQ120" s="14"/>
      <c r="HR120" s="14"/>
      <c r="HS120" s="14"/>
      <c r="HT120" s="14"/>
      <c r="HU120" s="14"/>
      <c r="HV120" s="14"/>
      <c r="HW120" s="14"/>
      <c r="HX120" s="14"/>
      <c r="HY120" s="14"/>
      <c r="HZ120" s="14"/>
      <c r="IA120" s="14"/>
      <c r="IB120" s="14"/>
      <c r="IC120" s="14"/>
      <c r="ID120" s="14"/>
      <c r="IE120" s="14"/>
      <c r="IF120" s="14"/>
      <c r="IG120" s="14"/>
      <c r="IH120" s="14"/>
      <c r="II120" s="14"/>
      <c r="IJ120" s="14"/>
      <c r="IK120" s="14"/>
      <c r="IL120" s="14"/>
      <c r="IM120" s="14"/>
      <c r="IN120" s="14"/>
      <c r="IO120" s="14"/>
      <c r="IP120" s="14"/>
      <c r="IQ120" s="14"/>
      <c r="IR120" s="14"/>
      <c r="IS120" s="14"/>
      <c r="IT120" s="14"/>
      <c r="IU120" s="14"/>
      <c r="IV120" s="14"/>
      <c r="IW120" s="14"/>
      <c r="IX120" s="14"/>
      <c r="IY120" s="14"/>
      <c r="IZ120" s="14"/>
      <c r="JA120" s="14"/>
      <c r="JB120" s="14"/>
      <c r="JC120" s="14"/>
      <c r="JD120" s="14"/>
      <c r="JE120" s="14"/>
      <c r="JF120" s="14"/>
      <c r="JG120" s="14"/>
      <c r="JH120" s="14"/>
      <c r="JI120" s="14"/>
      <c r="JJ120" s="14"/>
      <c r="JK120" s="14"/>
      <c r="JL120" s="14"/>
      <c r="JM120" s="14"/>
      <c r="JN120" s="14"/>
      <c r="JO120" s="14"/>
      <c r="JP120" s="14"/>
      <c r="JQ120" s="14"/>
      <c r="JR120" s="14"/>
      <c r="JS120" s="14"/>
      <c r="JT120" s="14"/>
      <c r="JU120" s="14"/>
      <c r="JV120" s="14"/>
      <c r="JW120" s="14"/>
      <c r="JX120" s="14"/>
      <c r="JY120" s="14"/>
      <c r="JZ120" s="14"/>
      <c r="KA120" s="14"/>
      <c r="KB120" s="14"/>
      <c r="KC120" s="14"/>
      <c r="KD120" s="14"/>
      <c r="KE120" s="14"/>
      <c r="KF120" s="14"/>
      <c r="KG120" s="14"/>
      <c r="KH120" s="14"/>
      <c r="KI120" s="14"/>
      <c r="KJ120" s="14"/>
      <c r="KK120" s="14"/>
      <c r="KL120" s="14"/>
      <c r="KM120" s="14"/>
      <c r="KN120" s="14"/>
      <c r="KO120" s="14"/>
      <c r="KP120" s="14"/>
      <c r="KQ120" s="14"/>
      <c r="KR120" s="14"/>
      <c r="KS120" s="14"/>
      <c r="KT120" s="14"/>
      <c r="KU120" s="14"/>
      <c r="KV120" s="14"/>
      <c r="KW120" s="14"/>
      <c r="KX120" s="14"/>
      <c r="KY120" s="14"/>
      <c r="KZ120" s="14"/>
      <c r="LA120" s="14"/>
      <c r="LB120" s="14"/>
      <c r="LC120" s="14"/>
      <c r="LD120" s="14"/>
      <c r="LE120" s="14"/>
      <c r="LF120" s="14"/>
      <c r="LG120" s="14"/>
      <c r="LH120" s="14"/>
      <c r="LI120" s="14"/>
      <c r="LJ120" s="14"/>
      <c r="LK120" s="14"/>
      <c r="LL120" s="14"/>
      <c r="LM120" s="14"/>
      <c r="LN120" s="14"/>
      <c r="LO120" s="14"/>
      <c r="LP120" s="14"/>
      <c r="LQ120" s="14"/>
      <c r="LR120" s="14"/>
      <c r="LS120" s="14"/>
      <c r="LT120" s="14"/>
      <c r="LU120" s="14"/>
      <c r="LV120" s="14"/>
      <c r="LW120" s="14"/>
      <c r="LX120" s="14"/>
      <c r="LY120" s="14"/>
      <c r="LZ120" s="14"/>
      <c r="MA120" s="14"/>
      <c r="MB120" s="14"/>
      <c r="MC120" s="14"/>
      <c r="MD120" s="14"/>
      <c r="ME120" s="14"/>
      <c r="MF120" s="14"/>
      <c r="MG120" s="14"/>
      <c r="MH120" s="14"/>
      <c r="MI120" s="14"/>
      <c r="MJ120" s="14"/>
      <c r="MK120" s="14"/>
      <c r="ML120" s="14"/>
      <c r="MM120" s="14"/>
      <c r="MN120" s="14"/>
      <c r="MO120" s="14"/>
      <c r="MP120" s="14"/>
      <c r="MQ120" s="14"/>
      <c r="MR120" s="14"/>
      <c r="MS120" s="14"/>
      <c r="MT120" s="14"/>
      <c r="MU120" s="14"/>
      <c r="MV120" s="14"/>
      <c r="MW120" s="14"/>
      <c r="MX120" s="14"/>
      <c r="MY120" s="14"/>
      <c r="MZ120" s="14"/>
      <c r="NA120" s="14"/>
      <c r="NB120" s="14"/>
      <c r="NC120" s="14"/>
      <c r="ND120" s="14"/>
      <c r="NE120" s="14"/>
      <c r="NF120" s="14"/>
      <c r="NG120" s="14"/>
      <c r="NH120" s="14"/>
      <c r="NI120" s="14"/>
      <c r="NJ120" s="14"/>
      <c r="NK120" s="14"/>
      <c r="NL120" s="14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</row>
    <row r="121" ht="13.5" customHeight="1">
      <c r="A121" s="2"/>
      <c r="B121" s="22"/>
      <c r="C121" s="2"/>
      <c r="D121" s="13"/>
      <c r="E121" s="3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4"/>
      <c r="FJ121" s="14"/>
      <c r="FK121" s="14"/>
      <c r="FL121" s="14"/>
      <c r="FM121" s="14"/>
      <c r="FN121" s="14"/>
      <c r="FO121" s="14"/>
      <c r="FP121" s="14"/>
      <c r="FQ121" s="14"/>
      <c r="FR121" s="14"/>
      <c r="FS121" s="14"/>
      <c r="FT121" s="14"/>
      <c r="FU121" s="14"/>
      <c r="FV121" s="14"/>
      <c r="FW121" s="14"/>
      <c r="FX121" s="14"/>
      <c r="FY121" s="14"/>
      <c r="FZ121" s="14"/>
      <c r="GA121" s="14"/>
      <c r="GB121" s="14"/>
      <c r="GC121" s="14"/>
      <c r="GD121" s="14"/>
      <c r="GE121" s="14"/>
      <c r="GF121" s="14"/>
      <c r="GG121" s="14"/>
      <c r="GH121" s="14"/>
      <c r="GI121" s="14"/>
      <c r="GJ121" s="14"/>
      <c r="GK121" s="14"/>
      <c r="GL121" s="14"/>
      <c r="GM121" s="14"/>
      <c r="GN121" s="14"/>
      <c r="GO121" s="14"/>
      <c r="GP121" s="14"/>
      <c r="GQ121" s="14"/>
      <c r="GR121" s="14"/>
      <c r="GS121" s="14"/>
      <c r="GT121" s="14"/>
      <c r="GU121" s="14"/>
      <c r="GV121" s="14"/>
      <c r="GW121" s="14"/>
      <c r="GX121" s="14"/>
      <c r="GY121" s="14"/>
      <c r="GZ121" s="14"/>
      <c r="HA121" s="14"/>
      <c r="HB121" s="14"/>
      <c r="HC121" s="14"/>
      <c r="HD121" s="14"/>
      <c r="HE121" s="14"/>
      <c r="HF121" s="14"/>
      <c r="HG121" s="14"/>
      <c r="HH121" s="14"/>
      <c r="HI121" s="14"/>
      <c r="HJ121" s="14"/>
      <c r="HK121" s="14"/>
      <c r="HL121" s="14"/>
      <c r="HM121" s="14"/>
      <c r="HN121" s="14"/>
      <c r="HO121" s="14"/>
      <c r="HP121" s="14"/>
      <c r="HQ121" s="14"/>
      <c r="HR121" s="14"/>
      <c r="HS121" s="14"/>
      <c r="HT121" s="14"/>
      <c r="HU121" s="14"/>
      <c r="HV121" s="14"/>
      <c r="HW121" s="14"/>
      <c r="HX121" s="14"/>
      <c r="HY121" s="14"/>
      <c r="HZ121" s="14"/>
      <c r="IA121" s="14"/>
      <c r="IB121" s="14"/>
      <c r="IC121" s="14"/>
      <c r="ID121" s="14"/>
      <c r="IE121" s="14"/>
      <c r="IF121" s="14"/>
      <c r="IG121" s="14"/>
      <c r="IH121" s="14"/>
      <c r="II121" s="14"/>
      <c r="IJ121" s="14"/>
      <c r="IK121" s="14"/>
      <c r="IL121" s="14"/>
      <c r="IM121" s="14"/>
      <c r="IN121" s="14"/>
      <c r="IO121" s="14"/>
      <c r="IP121" s="14"/>
      <c r="IQ121" s="14"/>
      <c r="IR121" s="14"/>
      <c r="IS121" s="14"/>
      <c r="IT121" s="14"/>
      <c r="IU121" s="14"/>
      <c r="IV121" s="14"/>
      <c r="IW121" s="14"/>
      <c r="IX121" s="14"/>
      <c r="IY121" s="14"/>
      <c r="IZ121" s="14"/>
      <c r="JA121" s="14"/>
      <c r="JB121" s="14"/>
      <c r="JC121" s="14"/>
      <c r="JD121" s="14"/>
      <c r="JE121" s="14"/>
      <c r="JF121" s="14"/>
      <c r="JG121" s="14"/>
      <c r="JH121" s="14"/>
      <c r="JI121" s="14"/>
      <c r="JJ121" s="14"/>
      <c r="JK121" s="14"/>
      <c r="JL121" s="14"/>
      <c r="JM121" s="14"/>
      <c r="JN121" s="14"/>
      <c r="JO121" s="14"/>
      <c r="JP121" s="14"/>
      <c r="JQ121" s="14"/>
      <c r="JR121" s="14"/>
      <c r="JS121" s="14"/>
      <c r="JT121" s="14"/>
      <c r="JU121" s="14"/>
      <c r="JV121" s="14"/>
      <c r="JW121" s="14"/>
      <c r="JX121" s="14"/>
      <c r="JY121" s="14"/>
      <c r="JZ121" s="14"/>
      <c r="KA121" s="14"/>
      <c r="KB121" s="14"/>
      <c r="KC121" s="14"/>
      <c r="KD121" s="14"/>
      <c r="KE121" s="14"/>
      <c r="KF121" s="14"/>
      <c r="KG121" s="14"/>
      <c r="KH121" s="14"/>
      <c r="KI121" s="14"/>
      <c r="KJ121" s="14"/>
      <c r="KK121" s="14"/>
      <c r="KL121" s="14"/>
      <c r="KM121" s="14"/>
      <c r="KN121" s="14"/>
      <c r="KO121" s="14"/>
      <c r="KP121" s="14"/>
      <c r="KQ121" s="14"/>
      <c r="KR121" s="14"/>
      <c r="KS121" s="14"/>
      <c r="KT121" s="14"/>
      <c r="KU121" s="14"/>
      <c r="KV121" s="14"/>
      <c r="KW121" s="14"/>
      <c r="KX121" s="14"/>
      <c r="KY121" s="14"/>
      <c r="KZ121" s="14"/>
      <c r="LA121" s="14"/>
      <c r="LB121" s="14"/>
      <c r="LC121" s="14"/>
      <c r="LD121" s="14"/>
      <c r="LE121" s="14"/>
      <c r="LF121" s="14"/>
      <c r="LG121" s="14"/>
      <c r="LH121" s="14"/>
      <c r="LI121" s="14"/>
      <c r="LJ121" s="14"/>
      <c r="LK121" s="14"/>
      <c r="LL121" s="14"/>
      <c r="LM121" s="14"/>
      <c r="LN121" s="14"/>
      <c r="LO121" s="14"/>
      <c r="LP121" s="14"/>
      <c r="LQ121" s="14"/>
      <c r="LR121" s="14"/>
      <c r="LS121" s="14"/>
      <c r="LT121" s="14"/>
      <c r="LU121" s="14"/>
      <c r="LV121" s="14"/>
      <c r="LW121" s="14"/>
      <c r="LX121" s="14"/>
      <c r="LY121" s="14"/>
      <c r="LZ121" s="14"/>
      <c r="MA121" s="14"/>
      <c r="MB121" s="14"/>
      <c r="MC121" s="14"/>
      <c r="MD121" s="14"/>
      <c r="ME121" s="14"/>
      <c r="MF121" s="14"/>
      <c r="MG121" s="14"/>
      <c r="MH121" s="14"/>
      <c r="MI121" s="14"/>
      <c r="MJ121" s="14"/>
      <c r="MK121" s="14"/>
      <c r="ML121" s="14"/>
      <c r="MM121" s="14"/>
      <c r="MN121" s="14"/>
      <c r="MO121" s="14"/>
      <c r="MP121" s="14"/>
      <c r="MQ121" s="14"/>
      <c r="MR121" s="14"/>
      <c r="MS121" s="14"/>
      <c r="MT121" s="14"/>
      <c r="MU121" s="14"/>
      <c r="MV121" s="14"/>
      <c r="MW121" s="14"/>
      <c r="MX121" s="14"/>
      <c r="MY121" s="14"/>
      <c r="MZ121" s="14"/>
      <c r="NA121" s="14"/>
      <c r="NB121" s="14"/>
      <c r="NC121" s="14"/>
      <c r="ND121" s="14"/>
      <c r="NE121" s="14"/>
      <c r="NF121" s="14"/>
      <c r="NG121" s="14"/>
      <c r="NH121" s="14"/>
      <c r="NI121" s="14"/>
      <c r="NJ121" s="14"/>
      <c r="NK121" s="14"/>
      <c r="NL121" s="14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</row>
    <row r="122" ht="13.5" customHeight="1">
      <c r="A122" s="2"/>
      <c r="B122" s="22"/>
      <c r="C122" s="2"/>
      <c r="D122" s="13"/>
      <c r="E122" s="3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4"/>
      <c r="FJ122" s="14"/>
      <c r="FK122" s="14"/>
      <c r="FL122" s="14"/>
      <c r="FM122" s="14"/>
      <c r="FN122" s="14"/>
      <c r="FO122" s="14"/>
      <c r="FP122" s="14"/>
      <c r="FQ122" s="14"/>
      <c r="FR122" s="14"/>
      <c r="FS122" s="14"/>
      <c r="FT122" s="14"/>
      <c r="FU122" s="14"/>
      <c r="FV122" s="14"/>
      <c r="FW122" s="14"/>
      <c r="FX122" s="14"/>
      <c r="FY122" s="14"/>
      <c r="FZ122" s="14"/>
      <c r="GA122" s="14"/>
      <c r="GB122" s="14"/>
      <c r="GC122" s="14"/>
      <c r="GD122" s="14"/>
      <c r="GE122" s="14"/>
      <c r="GF122" s="14"/>
      <c r="GG122" s="14"/>
      <c r="GH122" s="14"/>
      <c r="GI122" s="14"/>
      <c r="GJ122" s="14"/>
      <c r="GK122" s="14"/>
      <c r="GL122" s="14"/>
      <c r="GM122" s="14"/>
      <c r="GN122" s="14"/>
      <c r="GO122" s="14"/>
      <c r="GP122" s="14"/>
      <c r="GQ122" s="14"/>
      <c r="GR122" s="14"/>
      <c r="GS122" s="14"/>
      <c r="GT122" s="14"/>
      <c r="GU122" s="14"/>
      <c r="GV122" s="14"/>
      <c r="GW122" s="14"/>
      <c r="GX122" s="14"/>
      <c r="GY122" s="14"/>
      <c r="GZ122" s="14"/>
      <c r="HA122" s="14"/>
      <c r="HB122" s="14"/>
      <c r="HC122" s="14"/>
      <c r="HD122" s="14"/>
      <c r="HE122" s="14"/>
      <c r="HF122" s="14"/>
      <c r="HG122" s="14"/>
      <c r="HH122" s="14"/>
      <c r="HI122" s="14"/>
      <c r="HJ122" s="14"/>
      <c r="HK122" s="14"/>
      <c r="HL122" s="14"/>
      <c r="HM122" s="14"/>
      <c r="HN122" s="14"/>
      <c r="HO122" s="14"/>
      <c r="HP122" s="14"/>
      <c r="HQ122" s="14"/>
      <c r="HR122" s="14"/>
      <c r="HS122" s="14"/>
      <c r="HT122" s="14"/>
      <c r="HU122" s="14"/>
      <c r="HV122" s="14"/>
      <c r="HW122" s="14"/>
      <c r="HX122" s="14"/>
      <c r="HY122" s="14"/>
      <c r="HZ122" s="14"/>
      <c r="IA122" s="14"/>
      <c r="IB122" s="14"/>
      <c r="IC122" s="14"/>
      <c r="ID122" s="14"/>
      <c r="IE122" s="14"/>
      <c r="IF122" s="14"/>
      <c r="IG122" s="14"/>
      <c r="IH122" s="14"/>
      <c r="II122" s="14"/>
      <c r="IJ122" s="14"/>
      <c r="IK122" s="14"/>
      <c r="IL122" s="14"/>
      <c r="IM122" s="14"/>
      <c r="IN122" s="14"/>
      <c r="IO122" s="14"/>
      <c r="IP122" s="14"/>
      <c r="IQ122" s="14"/>
      <c r="IR122" s="14"/>
      <c r="IS122" s="14"/>
      <c r="IT122" s="14"/>
      <c r="IU122" s="14"/>
      <c r="IV122" s="14"/>
      <c r="IW122" s="14"/>
      <c r="IX122" s="14"/>
      <c r="IY122" s="14"/>
      <c r="IZ122" s="14"/>
      <c r="JA122" s="14"/>
      <c r="JB122" s="14"/>
      <c r="JC122" s="14"/>
      <c r="JD122" s="14"/>
      <c r="JE122" s="14"/>
      <c r="JF122" s="14"/>
      <c r="JG122" s="14"/>
      <c r="JH122" s="14"/>
      <c r="JI122" s="14"/>
      <c r="JJ122" s="14"/>
      <c r="JK122" s="14"/>
      <c r="JL122" s="14"/>
      <c r="JM122" s="14"/>
      <c r="JN122" s="14"/>
      <c r="JO122" s="14"/>
      <c r="JP122" s="14"/>
      <c r="JQ122" s="14"/>
      <c r="JR122" s="14"/>
      <c r="JS122" s="14"/>
      <c r="JT122" s="14"/>
      <c r="JU122" s="14"/>
      <c r="JV122" s="14"/>
      <c r="JW122" s="14"/>
      <c r="JX122" s="14"/>
      <c r="JY122" s="14"/>
      <c r="JZ122" s="14"/>
      <c r="KA122" s="14"/>
      <c r="KB122" s="14"/>
      <c r="KC122" s="14"/>
      <c r="KD122" s="14"/>
      <c r="KE122" s="14"/>
      <c r="KF122" s="14"/>
      <c r="KG122" s="14"/>
      <c r="KH122" s="14"/>
      <c r="KI122" s="14"/>
      <c r="KJ122" s="14"/>
      <c r="KK122" s="14"/>
      <c r="KL122" s="14"/>
      <c r="KM122" s="14"/>
      <c r="KN122" s="14"/>
      <c r="KO122" s="14"/>
      <c r="KP122" s="14"/>
      <c r="KQ122" s="14"/>
      <c r="KR122" s="14"/>
      <c r="KS122" s="14"/>
      <c r="KT122" s="14"/>
      <c r="KU122" s="14"/>
      <c r="KV122" s="14"/>
      <c r="KW122" s="14"/>
      <c r="KX122" s="14"/>
      <c r="KY122" s="14"/>
      <c r="KZ122" s="14"/>
      <c r="LA122" s="14"/>
      <c r="LB122" s="14"/>
      <c r="LC122" s="14"/>
      <c r="LD122" s="14"/>
      <c r="LE122" s="14"/>
      <c r="LF122" s="14"/>
      <c r="LG122" s="14"/>
      <c r="LH122" s="14"/>
      <c r="LI122" s="14"/>
      <c r="LJ122" s="14"/>
      <c r="LK122" s="14"/>
      <c r="LL122" s="14"/>
      <c r="LM122" s="14"/>
      <c r="LN122" s="14"/>
      <c r="LO122" s="14"/>
      <c r="LP122" s="14"/>
      <c r="LQ122" s="14"/>
      <c r="LR122" s="14"/>
      <c r="LS122" s="14"/>
      <c r="LT122" s="14"/>
      <c r="LU122" s="14"/>
      <c r="LV122" s="14"/>
      <c r="LW122" s="14"/>
      <c r="LX122" s="14"/>
      <c r="LY122" s="14"/>
      <c r="LZ122" s="14"/>
      <c r="MA122" s="14"/>
      <c r="MB122" s="14"/>
      <c r="MC122" s="14"/>
      <c r="MD122" s="14"/>
      <c r="ME122" s="14"/>
      <c r="MF122" s="14"/>
      <c r="MG122" s="14"/>
      <c r="MH122" s="14"/>
      <c r="MI122" s="14"/>
      <c r="MJ122" s="14"/>
      <c r="MK122" s="14"/>
      <c r="ML122" s="14"/>
      <c r="MM122" s="14"/>
      <c r="MN122" s="14"/>
      <c r="MO122" s="14"/>
      <c r="MP122" s="14"/>
      <c r="MQ122" s="14"/>
      <c r="MR122" s="14"/>
      <c r="MS122" s="14"/>
      <c r="MT122" s="14"/>
      <c r="MU122" s="14"/>
      <c r="MV122" s="14"/>
      <c r="MW122" s="14"/>
      <c r="MX122" s="14"/>
      <c r="MY122" s="14"/>
      <c r="MZ122" s="14"/>
      <c r="NA122" s="14"/>
      <c r="NB122" s="14"/>
      <c r="NC122" s="14"/>
      <c r="ND122" s="14"/>
      <c r="NE122" s="14"/>
      <c r="NF122" s="14"/>
      <c r="NG122" s="14"/>
      <c r="NH122" s="14"/>
      <c r="NI122" s="14"/>
      <c r="NJ122" s="14"/>
      <c r="NK122" s="14"/>
      <c r="NL122" s="14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</row>
    <row r="123" ht="13.5" customHeight="1">
      <c r="A123" s="2"/>
      <c r="B123" s="22"/>
      <c r="C123" s="2"/>
      <c r="D123" s="13"/>
      <c r="E123" s="3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4"/>
      <c r="FJ123" s="14"/>
      <c r="FK123" s="14"/>
      <c r="FL123" s="14"/>
      <c r="FM123" s="14"/>
      <c r="FN123" s="14"/>
      <c r="FO123" s="14"/>
      <c r="FP123" s="14"/>
      <c r="FQ123" s="14"/>
      <c r="FR123" s="14"/>
      <c r="FS123" s="14"/>
      <c r="FT123" s="14"/>
      <c r="FU123" s="14"/>
      <c r="FV123" s="14"/>
      <c r="FW123" s="14"/>
      <c r="FX123" s="14"/>
      <c r="FY123" s="14"/>
      <c r="FZ123" s="14"/>
      <c r="GA123" s="14"/>
      <c r="GB123" s="14"/>
      <c r="GC123" s="14"/>
      <c r="GD123" s="14"/>
      <c r="GE123" s="14"/>
      <c r="GF123" s="14"/>
      <c r="GG123" s="14"/>
      <c r="GH123" s="14"/>
      <c r="GI123" s="14"/>
      <c r="GJ123" s="14"/>
      <c r="GK123" s="14"/>
      <c r="GL123" s="14"/>
      <c r="GM123" s="14"/>
      <c r="GN123" s="14"/>
      <c r="GO123" s="14"/>
      <c r="GP123" s="14"/>
      <c r="GQ123" s="14"/>
      <c r="GR123" s="14"/>
      <c r="GS123" s="14"/>
      <c r="GT123" s="14"/>
      <c r="GU123" s="14"/>
      <c r="GV123" s="14"/>
      <c r="GW123" s="14"/>
      <c r="GX123" s="14"/>
      <c r="GY123" s="14"/>
      <c r="GZ123" s="14"/>
      <c r="HA123" s="14"/>
      <c r="HB123" s="14"/>
      <c r="HC123" s="14"/>
      <c r="HD123" s="14"/>
      <c r="HE123" s="14"/>
      <c r="HF123" s="14"/>
      <c r="HG123" s="14"/>
      <c r="HH123" s="14"/>
      <c r="HI123" s="14"/>
      <c r="HJ123" s="14"/>
      <c r="HK123" s="14"/>
      <c r="HL123" s="14"/>
      <c r="HM123" s="14"/>
      <c r="HN123" s="14"/>
      <c r="HO123" s="14"/>
      <c r="HP123" s="14"/>
      <c r="HQ123" s="14"/>
      <c r="HR123" s="14"/>
      <c r="HS123" s="14"/>
      <c r="HT123" s="14"/>
      <c r="HU123" s="14"/>
      <c r="HV123" s="14"/>
      <c r="HW123" s="14"/>
      <c r="HX123" s="14"/>
      <c r="HY123" s="14"/>
      <c r="HZ123" s="14"/>
      <c r="IA123" s="14"/>
      <c r="IB123" s="14"/>
      <c r="IC123" s="14"/>
      <c r="ID123" s="14"/>
      <c r="IE123" s="14"/>
      <c r="IF123" s="14"/>
      <c r="IG123" s="14"/>
      <c r="IH123" s="14"/>
      <c r="II123" s="14"/>
      <c r="IJ123" s="14"/>
      <c r="IK123" s="14"/>
      <c r="IL123" s="14"/>
      <c r="IM123" s="14"/>
      <c r="IN123" s="14"/>
      <c r="IO123" s="14"/>
      <c r="IP123" s="14"/>
      <c r="IQ123" s="14"/>
      <c r="IR123" s="14"/>
      <c r="IS123" s="14"/>
      <c r="IT123" s="14"/>
      <c r="IU123" s="14"/>
      <c r="IV123" s="14"/>
      <c r="IW123" s="14"/>
      <c r="IX123" s="14"/>
      <c r="IY123" s="14"/>
      <c r="IZ123" s="14"/>
      <c r="JA123" s="14"/>
      <c r="JB123" s="14"/>
      <c r="JC123" s="14"/>
      <c r="JD123" s="14"/>
      <c r="JE123" s="14"/>
      <c r="JF123" s="14"/>
      <c r="JG123" s="14"/>
      <c r="JH123" s="14"/>
      <c r="JI123" s="14"/>
      <c r="JJ123" s="14"/>
      <c r="JK123" s="14"/>
      <c r="JL123" s="14"/>
      <c r="JM123" s="14"/>
      <c r="JN123" s="14"/>
      <c r="JO123" s="14"/>
      <c r="JP123" s="14"/>
      <c r="JQ123" s="14"/>
      <c r="JR123" s="14"/>
      <c r="JS123" s="14"/>
      <c r="JT123" s="14"/>
      <c r="JU123" s="14"/>
      <c r="JV123" s="14"/>
      <c r="JW123" s="14"/>
      <c r="JX123" s="14"/>
      <c r="JY123" s="14"/>
      <c r="JZ123" s="14"/>
      <c r="KA123" s="14"/>
      <c r="KB123" s="14"/>
      <c r="KC123" s="14"/>
      <c r="KD123" s="14"/>
      <c r="KE123" s="14"/>
      <c r="KF123" s="14"/>
      <c r="KG123" s="14"/>
      <c r="KH123" s="14"/>
      <c r="KI123" s="14"/>
      <c r="KJ123" s="14"/>
      <c r="KK123" s="14"/>
      <c r="KL123" s="14"/>
      <c r="KM123" s="14"/>
      <c r="KN123" s="14"/>
      <c r="KO123" s="14"/>
      <c r="KP123" s="14"/>
      <c r="KQ123" s="14"/>
      <c r="KR123" s="14"/>
      <c r="KS123" s="14"/>
      <c r="KT123" s="14"/>
      <c r="KU123" s="14"/>
      <c r="KV123" s="14"/>
      <c r="KW123" s="14"/>
      <c r="KX123" s="14"/>
      <c r="KY123" s="14"/>
      <c r="KZ123" s="14"/>
      <c r="LA123" s="14"/>
      <c r="LB123" s="14"/>
      <c r="LC123" s="14"/>
      <c r="LD123" s="14"/>
      <c r="LE123" s="14"/>
      <c r="LF123" s="14"/>
      <c r="LG123" s="14"/>
      <c r="LH123" s="14"/>
      <c r="LI123" s="14"/>
      <c r="LJ123" s="14"/>
      <c r="LK123" s="14"/>
      <c r="LL123" s="14"/>
      <c r="LM123" s="14"/>
      <c r="LN123" s="14"/>
      <c r="LO123" s="14"/>
      <c r="LP123" s="14"/>
      <c r="LQ123" s="14"/>
      <c r="LR123" s="14"/>
      <c r="LS123" s="14"/>
      <c r="LT123" s="14"/>
      <c r="LU123" s="14"/>
      <c r="LV123" s="14"/>
      <c r="LW123" s="14"/>
      <c r="LX123" s="14"/>
      <c r="LY123" s="14"/>
      <c r="LZ123" s="14"/>
      <c r="MA123" s="14"/>
      <c r="MB123" s="14"/>
      <c r="MC123" s="14"/>
      <c r="MD123" s="14"/>
      <c r="ME123" s="14"/>
      <c r="MF123" s="14"/>
      <c r="MG123" s="14"/>
      <c r="MH123" s="14"/>
      <c r="MI123" s="14"/>
      <c r="MJ123" s="14"/>
      <c r="MK123" s="14"/>
      <c r="ML123" s="14"/>
      <c r="MM123" s="14"/>
      <c r="MN123" s="14"/>
      <c r="MO123" s="14"/>
      <c r="MP123" s="14"/>
      <c r="MQ123" s="14"/>
      <c r="MR123" s="14"/>
      <c r="MS123" s="14"/>
      <c r="MT123" s="14"/>
      <c r="MU123" s="14"/>
      <c r="MV123" s="14"/>
      <c r="MW123" s="14"/>
      <c r="MX123" s="14"/>
      <c r="MY123" s="14"/>
      <c r="MZ123" s="14"/>
      <c r="NA123" s="14"/>
      <c r="NB123" s="14"/>
      <c r="NC123" s="14"/>
      <c r="ND123" s="14"/>
      <c r="NE123" s="14"/>
      <c r="NF123" s="14"/>
      <c r="NG123" s="14"/>
      <c r="NH123" s="14"/>
      <c r="NI123" s="14"/>
      <c r="NJ123" s="14"/>
      <c r="NK123" s="14"/>
      <c r="NL123" s="14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</row>
    <row r="124" ht="13.5" customHeight="1">
      <c r="A124" s="2"/>
      <c r="B124" s="22"/>
      <c r="C124" s="2"/>
      <c r="D124" s="13"/>
      <c r="E124" s="3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4"/>
      <c r="FJ124" s="14"/>
      <c r="FK124" s="14"/>
      <c r="FL124" s="14"/>
      <c r="FM124" s="14"/>
      <c r="FN124" s="14"/>
      <c r="FO124" s="14"/>
      <c r="FP124" s="14"/>
      <c r="FQ124" s="14"/>
      <c r="FR124" s="14"/>
      <c r="FS124" s="14"/>
      <c r="FT124" s="14"/>
      <c r="FU124" s="14"/>
      <c r="FV124" s="14"/>
      <c r="FW124" s="14"/>
      <c r="FX124" s="14"/>
      <c r="FY124" s="14"/>
      <c r="FZ124" s="14"/>
      <c r="GA124" s="14"/>
      <c r="GB124" s="14"/>
      <c r="GC124" s="14"/>
      <c r="GD124" s="14"/>
      <c r="GE124" s="14"/>
      <c r="GF124" s="14"/>
      <c r="GG124" s="14"/>
      <c r="GH124" s="14"/>
      <c r="GI124" s="14"/>
      <c r="GJ124" s="14"/>
      <c r="GK124" s="14"/>
      <c r="GL124" s="14"/>
      <c r="GM124" s="14"/>
      <c r="GN124" s="14"/>
      <c r="GO124" s="14"/>
      <c r="GP124" s="14"/>
      <c r="GQ124" s="14"/>
      <c r="GR124" s="14"/>
      <c r="GS124" s="14"/>
      <c r="GT124" s="14"/>
      <c r="GU124" s="14"/>
      <c r="GV124" s="14"/>
      <c r="GW124" s="14"/>
      <c r="GX124" s="14"/>
      <c r="GY124" s="14"/>
      <c r="GZ124" s="14"/>
      <c r="HA124" s="14"/>
      <c r="HB124" s="14"/>
      <c r="HC124" s="14"/>
      <c r="HD124" s="14"/>
      <c r="HE124" s="14"/>
      <c r="HF124" s="14"/>
      <c r="HG124" s="14"/>
      <c r="HH124" s="14"/>
      <c r="HI124" s="14"/>
      <c r="HJ124" s="14"/>
      <c r="HK124" s="14"/>
      <c r="HL124" s="14"/>
      <c r="HM124" s="14"/>
      <c r="HN124" s="14"/>
      <c r="HO124" s="14"/>
      <c r="HP124" s="14"/>
      <c r="HQ124" s="14"/>
      <c r="HR124" s="14"/>
      <c r="HS124" s="14"/>
      <c r="HT124" s="14"/>
      <c r="HU124" s="14"/>
      <c r="HV124" s="14"/>
      <c r="HW124" s="14"/>
      <c r="HX124" s="14"/>
      <c r="HY124" s="14"/>
      <c r="HZ124" s="14"/>
      <c r="IA124" s="14"/>
      <c r="IB124" s="14"/>
      <c r="IC124" s="14"/>
      <c r="ID124" s="14"/>
      <c r="IE124" s="14"/>
      <c r="IF124" s="14"/>
      <c r="IG124" s="14"/>
      <c r="IH124" s="14"/>
      <c r="II124" s="14"/>
      <c r="IJ124" s="14"/>
      <c r="IK124" s="14"/>
      <c r="IL124" s="14"/>
      <c r="IM124" s="14"/>
      <c r="IN124" s="14"/>
      <c r="IO124" s="14"/>
      <c r="IP124" s="14"/>
      <c r="IQ124" s="14"/>
      <c r="IR124" s="14"/>
      <c r="IS124" s="14"/>
      <c r="IT124" s="14"/>
      <c r="IU124" s="14"/>
      <c r="IV124" s="14"/>
      <c r="IW124" s="14"/>
      <c r="IX124" s="14"/>
      <c r="IY124" s="14"/>
      <c r="IZ124" s="14"/>
      <c r="JA124" s="14"/>
      <c r="JB124" s="14"/>
      <c r="JC124" s="14"/>
      <c r="JD124" s="14"/>
      <c r="JE124" s="14"/>
      <c r="JF124" s="14"/>
      <c r="JG124" s="14"/>
      <c r="JH124" s="14"/>
      <c r="JI124" s="14"/>
      <c r="JJ124" s="14"/>
      <c r="JK124" s="14"/>
      <c r="JL124" s="14"/>
      <c r="JM124" s="14"/>
      <c r="JN124" s="14"/>
      <c r="JO124" s="14"/>
      <c r="JP124" s="14"/>
      <c r="JQ124" s="14"/>
      <c r="JR124" s="14"/>
      <c r="JS124" s="14"/>
      <c r="JT124" s="14"/>
      <c r="JU124" s="14"/>
      <c r="JV124" s="14"/>
      <c r="JW124" s="14"/>
      <c r="JX124" s="14"/>
      <c r="JY124" s="14"/>
      <c r="JZ124" s="14"/>
      <c r="KA124" s="14"/>
      <c r="KB124" s="14"/>
      <c r="KC124" s="14"/>
      <c r="KD124" s="14"/>
      <c r="KE124" s="14"/>
      <c r="KF124" s="14"/>
      <c r="KG124" s="14"/>
      <c r="KH124" s="14"/>
      <c r="KI124" s="14"/>
      <c r="KJ124" s="14"/>
      <c r="KK124" s="14"/>
      <c r="KL124" s="14"/>
      <c r="KM124" s="14"/>
      <c r="KN124" s="14"/>
      <c r="KO124" s="14"/>
      <c r="KP124" s="14"/>
      <c r="KQ124" s="14"/>
      <c r="KR124" s="14"/>
      <c r="KS124" s="14"/>
      <c r="KT124" s="14"/>
      <c r="KU124" s="14"/>
      <c r="KV124" s="14"/>
      <c r="KW124" s="14"/>
      <c r="KX124" s="14"/>
      <c r="KY124" s="14"/>
      <c r="KZ124" s="14"/>
      <c r="LA124" s="14"/>
      <c r="LB124" s="14"/>
      <c r="LC124" s="14"/>
      <c r="LD124" s="14"/>
      <c r="LE124" s="14"/>
      <c r="LF124" s="14"/>
      <c r="LG124" s="14"/>
      <c r="LH124" s="14"/>
      <c r="LI124" s="14"/>
      <c r="LJ124" s="14"/>
      <c r="LK124" s="14"/>
      <c r="LL124" s="14"/>
      <c r="LM124" s="14"/>
      <c r="LN124" s="14"/>
      <c r="LO124" s="14"/>
      <c r="LP124" s="14"/>
      <c r="LQ124" s="14"/>
      <c r="LR124" s="14"/>
      <c r="LS124" s="14"/>
      <c r="LT124" s="14"/>
      <c r="LU124" s="14"/>
      <c r="LV124" s="14"/>
      <c r="LW124" s="14"/>
      <c r="LX124" s="14"/>
      <c r="LY124" s="14"/>
      <c r="LZ124" s="14"/>
      <c r="MA124" s="14"/>
      <c r="MB124" s="14"/>
      <c r="MC124" s="14"/>
      <c r="MD124" s="14"/>
      <c r="ME124" s="14"/>
      <c r="MF124" s="14"/>
      <c r="MG124" s="14"/>
      <c r="MH124" s="14"/>
      <c r="MI124" s="14"/>
      <c r="MJ124" s="14"/>
      <c r="MK124" s="14"/>
      <c r="ML124" s="14"/>
      <c r="MM124" s="14"/>
      <c r="MN124" s="14"/>
      <c r="MO124" s="14"/>
      <c r="MP124" s="14"/>
      <c r="MQ124" s="14"/>
      <c r="MR124" s="14"/>
      <c r="MS124" s="14"/>
      <c r="MT124" s="14"/>
      <c r="MU124" s="14"/>
      <c r="MV124" s="14"/>
      <c r="MW124" s="14"/>
      <c r="MX124" s="14"/>
      <c r="MY124" s="14"/>
      <c r="MZ124" s="14"/>
      <c r="NA124" s="14"/>
      <c r="NB124" s="14"/>
      <c r="NC124" s="14"/>
      <c r="ND124" s="14"/>
      <c r="NE124" s="14"/>
      <c r="NF124" s="14"/>
      <c r="NG124" s="14"/>
      <c r="NH124" s="14"/>
      <c r="NI124" s="14"/>
      <c r="NJ124" s="14"/>
      <c r="NK124" s="14"/>
      <c r="NL124" s="14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</row>
    <row r="125" ht="13.5" customHeight="1">
      <c r="A125" s="2"/>
      <c r="B125" s="22"/>
      <c r="C125" s="2"/>
      <c r="D125" s="13"/>
      <c r="E125" s="3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4"/>
      <c r="FJ125" s="14"/>
      <c r="FK125" s="14"/>
      <c r="FL125" s="14"/>
      <c r="FM125" s="14"/>
      <c r="FN125" s="14"/>
      <c r="FO125" s="14"/>
      <c r="FP125" s="14"/>
      <c r="FQ125" s="14"/>
      <c r="FR125" s="14"/>
      <c r="FS125" s="14"/>
      <c r="FT125" s="14"/>
      <c r="FU125" s="14"/>
      <c r="FV125" s="14"/>
      <c r="FW125" s="14"/>
      <c r="FX125" s="14"/>
      <c r="FY125" s="14"/>
      <c r="FZ125" s="14"/>
      <c r="GA125" s="14"/>
      <c r="GB125" s="14"/>
      <c r="GC125" s="14"/>
      <c r="GD125" s="14"/>
      <c r="GE125" s="14"/>
      <c r="GF125" s="14"/>
      <c r="GG125" s="14"/>
      <c r="GH125" s="14"/>
      <c r="GI125" s="14"/>
      <c r="GJ125" s="14"/>
      <c r="GK125" s="14"/>
      <c r="GL125" s="14"/>
      <c r="GM125" s="14"/>
      <c r="GN125" s="14"/>
      <c r="GO125" s="14"/>
      <c r="GP125" s="14"/>
      <c r="GQ125" s="14"/>
      <c r="GR125" s="14"/>
      <c r="GS125" s="14"/>
      <c r="GT125" s="14"/>
      <c r="GU125" s="14"/>
      <c r="GV125" s="14"/>
      <c r="GW125" s="14"/>
      <c r="GX125" s="14"/>
      <c r="GY125" s="14"/>
      <c r="GZ125" s="14"/>
      <c r="HA125" s="14"/>
      <c r="HB125" s="14"/>
      <c r="HC125" s="14"/>
      <c r="HD125" s="14"/>
      <c r="HE125" s="14"/>
      <c r="HF125" s="14"/>
      <c r="HG125" s="14"/>
      <c r="HH125" s="14"/>
      <c r="HI125" s="14"/>
      <c r="HJ125" s="14"/>
      <c r="HK125" s="14"/>
      <c r="HL125" s="14"/>
      <c r="HM125" s="14"/>
      <c r="HN125" s="14"/>
      <c r="HO125" s="14"/>
      <c r="HP125" s="14"/>
      <c r="HQ125" s="14"/>
      <c r="HR125" s="14"/>
      <c r="HS125" s="14"/>
      <c r="HT125" s="14"/>
      <c r="HU125" s="14"/>
      <c r="HV125" s="14"/>
      <c r="HW125" s="14"/>
      <c r="HX125" s="14"/>
      <c r="HY125" s="14"/>
      <c r="HZ125" s="14"/>
      <c r="IA125" s="14"/>
      <c r="IB125" s="14"/>
      <c r="IC125" s="14"/>
      <c r="ID125" s="14"/>
      <c r="IE125" s="14"/>
      <c r="IF125" s="14"/>
      <c r="IG125" s="14"/>
      <c r="IH125" s="14"/>
      <c r="II125" s="14"/>
      <c r="IJ125" s="14"/>
      <c r="IK125" s="14"/>
      <c r="IL125" s="14"/>
      <c r="IM125" s="14"/>
      <c r="IN125" s="14"/>
      <c r="IO125" s="14"/>
      <c r="IP125" s="14"/>
      <c r="IQ125" s="14"/>
      <c r="IR125" s="14"/>
      <c r="IS125" s="14"/>
      <c r="IT125" s="14"/>
      <c r="IU125" s="14"/>
      <c r="IV125" s="14"/>
      <c r="IW125" s="14"/>
      <c r="IX125" s="14"/>
      <c r="IY125" s="14"/>
      <c r="IZ125" s="14"/>
      <c r="JA125" s="14"/>
      <c r="JB125" s="14"/>
      <c r="JC125" s="14"/>
      <c r="JD125" s="14"/>
      <c r="JE125" s="14"/>
      <c r="JF125" s="14"/>
      <c r="JG125" s="14"/>
      <c r="JH125" s="14"/>
      <c r="JI125" s="14"/>
      <c r="JJ125" s="14"/>
      <c r="JK125" s="14"/>
      <c r="JL125" s="14"/>
      <c r="JM125" s="14"/>
      <c r="JN125" s="14"/>
      <c r="JO125" s="14"/>
      <c r="JP125" s="14"/>
      <c r="JQ125" s="14"/>
      <c r="JR125" s="14"/>
      <c r="JS125" s="14"/>
      <c r="JT125" s="14"/>
      <c r="JU125" s="14"/>
      <c r="JV125" s="14"/>
      <c r="JW125" s="14"/>
      <c r="JX125" s="14"/>
      <c r="JY125" s="14"/>
      <c r="JZ125" s="14"/>
      <c r="KA125" s="14"/>
      <c r="KB125" s="14"/>
      <c r="KC125" s="14"/>
      <c r="KD125" s="14"/>
      <c r="KE125" s="14"/>
      <c r="KF125" s="14"/>
      <c r="KG125" s="14"/>
      <c r="KH125" s="14"/>
      <c r="KI125" s="14"/>
      <c r="KJ125" s="14"/>
      <c r="KK125" s="14"/>
      <c r="KL125" s="14"/>
      <c r="KM125" s="14"/>
      <c r="KN125" s="14"/>
      <c r="KO125" s="14"/>
      <c r="KP125" s="14"/>
      <c r="KQ125" s="14"/>
      <c r="KR125" s="14"/>
      <c r="KS125" s="14"/>
      <c r="KT125" s="14"/>
      <c r="KU125" s="14"/>
      <c r="KV125" s="14"/>
      <c r="KW125" s="14"/>
      <c r="KX125" s="14"/>
      <c r="KY125" s="14"/>
      <c r="KZ125" s="14"/>
      <c r="LA125" s="14"/>
      <c r="LB125" s="14"/>
      <c r="LC125" s="14"/>
      <c r="LD125" s="14"/>
      <c r="LE125" s="14"/>
      <c r="LF125" s="14"/>
      <c r="LG125" s="14"/>
      <c r="LH125" s="14"/>
      <c r="LI125" s="14"/>
      <c r="LJ125" s="14"/>
      <c r="LK125" s="14"/>
      <c r="LL125" s="14"/>
      <c r="LM125" s="14"/>
      <c r="LN125" s="14"/>
      <c r="LO125" s="14"/>
      <c r="LP125" s="14"/>
      <c r="LQ125" s="14"/>
      <c r="LR125" s="14"/>
      <c r="LS125" s="14"/>
      <c r="LT125" s="14"/>
      <c r="LU125" s="14"/>
      <c r="LV125" s="14"/>
      <c r="LW125" s="14"/>
      <c r="LX125" s="14"/>
      <c r="LY125" s="14"/>
      <c r="LZ125" s="14"/>
      <c r="MA125" s="14"/>
      <c r="MB125" s="14"/>
      <c r="MC125" s="14"/>
      <c r="MD125" s="14"/>
      <c r="ME125" s="14"/>
      <c r="MF125" s="14"/>
      <c r="MG125" s="14"/>
      <c r="MH125" s="14"/>
      <c r="MI125" s="14"/>
      <c r="MJ125" s="14"/>
      <c r="MK125" s="14"/>
      <c r="ML125" s="14"/>
      <c r="MM125" s="14"/>
      <c r="MN125" s="14"/>
      <c r="MO125" s="14"/>
      <c r="MP125" s="14"/>
      <c r="MQ125" s="14"/>
      <c r="MR125" s="14"/>
      <c r="MS125" s="14"/>
      <c r="MT125" s="14"/>
      <c r="MU125" s="14"/>
      <c r="MV125" s="14"/>
      <c r="MW125" s="14"/>
      <c r="MX125" s="14"/>
      <c r="MY125" s="14"/>
      <c r="MZ125" s="14"/>
      <c r="NA125" s="14"/>
      <c r="NB125" s="14"/>
      <c r="NC125" s="14"/>
      <c r="ND125" s="14"/>
      <c r="NE125" s="14"/>
      <c r="NF125" s="14"/>
      <c r="NG125" s="14"/>
      <c r="NH125" s="14"/>
      <c r="NI125" s="14"/>
      <c r="NJ125" s="14"/>
      <c r="NK125" s="14"/>
      <c r="NL125" s="14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</row>
    <row r="126" ht="13.5" customHeight="1">
      <c r="A126" s="2"/>
      <c r="B126" s="22"/>
      <c r="C126" s="2"/>
      <c r="D126" s="13"/>
      <c r="E126" s="3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14"/>
      <c r="FU126" s="14"/>
      <c r="FV126" s="14"/>
      <c r="FW126" s="14"/>
      <c r="FX126" s="14"/>
      <c r="FY126" s="14"/>
      <c r="FZ126" s="14"/>
      <c r="GA126" s="14"/>
      <c r="GB126" s="14"/>
      <c r="GC126" s="14"/>
      <c r="GD126" s="14"/>
      <c r="GE126" s="14"/>
      <c r="GF126" s="14"/>
      <c r="GG126" s="14"/>
      <c r="GH126" s="14"/>
      <c r="GI126" s="14"/>
      <c r="GJ126" s="14"/>
      <c r="GK126" s="14"/>
      <c r="GL126" s="14"/>
      <c r="GM126" s="14"/>
      <c r="GN126" s="14"/>
      <c r="GO126" s="14"/>
      <c r="GP126" s="14"/>
      <c r="GQ126" s="14"/>
      <c r="GR126" s="14"/>
      <c r="GS126" s="14"/>
      <c r="GT126" s="14"/>
      <c r="GU126" s="14"/>
      <c r="GV126" s="14"/>
      <c r="GW126" s="14"/>
      <c r="GX126" s="14"/>
      <c r="GY126" s="14"/>
      <c r="GZ126" s="14"/>
      <c r="HA126" s="14"/>
      <c r="HB126" s="14"/>
      <c r="HC126" s="14"/>
      <c r="HD126" s="14"/>
      <c r="HE126" s="14"/>
      <c r="HF126" s="14"/>
      <c r="HG126" s="14"/>
      <c r="HH126" s="14"/>
      <c r="HI126" s="14"/>
      <c r="HJ126" s="14"/>
      <c r="HK126" s="14"/>
      <c r="HL126" s="14"/>
      <c r="HM126" s="14"/>
      <c r="HN126" s="14"/>
      <c r="HO126" s="14"/>
      <c r="HP126" s="14"/>
      <c r="HQ126" s="14"/>
      <c r="HR126" s="14"/>
      <c r="HS126" s="14"/>
      <c r="HT126" s="14"/>
      <c r="HU126" s="14"/>
      <c r="HV126" s="14"/>
      <c r="HW126" s="14"/>
      <c r="HX126" s="14"/>
      <c r="HY126" s="14"/>
      <c r="HZ126" s="14"/>
      <c r="IA126" s="14"/>
      <c r="IB126" s="14"/>
      <c r="IC126" s="14"/>
      <c r="ID126" s="14"/>
      <c r="IE126" s="14"/>
      <c r="IF126" s="14"/>
      <c r="IG126" s="14"/>
      <c r="IH126" s="14"/>
      <c r="II126" s="14"/>
      <c r="IJ126" s="14"/>
      <c r="IK126" s="14"/>
      <c r="IL126" s="14"/>
      <c r="IM126" s="14"/>
      <c r="IN126" s="14"/>
      <c r="IO126" s="14"/>
      <c r="IP126" s="14"/>
      <c r="IQ126" s="14"/>
      <c r="IR126" s="14"/>
      <c r="IS126" s="14"/>
      <c r="IT126" s="14"/>
      <c r="IU126" s="14"/>
      <c r="IV126" s="14"/>
      <c r="IW126" s="14"/>
      <c r="IX126" s="14"/>
      <c r="IY126" s="14"/>
      <c r="IZ126" s="14"/>
      <c r="JA126" s="14"/>
      <c r="JB126" s="14"/>
      <c r="JC126" s="14"/>
      <c r="JD126" s="14"/>
      <c r="JE126" s="14"/>
      <c r="JF126" s="14"/>
      <c r="JG126" s="14"/>
      <c r="JH126" s="14"/>
      <c r="JI126" s="14"/>
      <c r="JJ126" s="14"/>
      <c r="JK126" s="14"/>
      <c r="JL126" s="14"/>
      <c r="JM126" s="14"/>
      <c r="JN126" s="14"/>
      <c r="JO126" s="14"/>
      <c r="JP126" s="14"/>
      <c r="JQ126" s="14"/>
      <c r="JR126" s="14"/>
      <c r="JS126" s="14"/>
      <c r="JT126" s="14"/>
      <c r="JU126" s="14"/>
      <c r="JV126" s="14"/>
      <c r="JW126" s="14"/>
      <c r="JX126" s="14"/>
      <c r="JY126" s="14"/>
      <c r="JZ126" s="14"/>
      <c r="KA126" s="14"/>
      <c r="KB126" s="14"/>
      <c r="KC126" s="14"/>
      <c r="KD126" s="14"/>
      <c r="KE126" s="14"/>
      <c r="KF126" s="14"/>
      <c r="KG126" s="14"/>
      <c r="KH126" s="14"/>
      <c r="KI126" s="14"/>
      <c r="KJ126" s="14"/>
      <c r="KK126" s="14"/>
      <c r="KL126" s="14"/>
      <c r="KM126" s="14"/>
      <c r="KN126" s="14"/>
      <c r="KO126" s="14"/>
      <c r="KP126" s="14"/>
      <c r="KQ126" s="14"/>
      <c r="KR126" s="14"/>
      <c r="KS126" s="14"/>
      <c r="KT126" s="14"/>
      <c r="KU126" s="14"/>
      <c r="KV126" s="14"/>
      <c r="KW126" s="14"/>
      <c r="KX126" s="14"/>
      <c r="KY126" s="14"/>
      <c r="KZ126" s="14"/>
      <c r="LA126" s="14"/>
      <c r="LB126" s="14"/>
      <c r="LC126" s="14"/>
      <c r="LD126" s="14"/>
      <c r="LE126" s="14"/>
      <c r="LF126" s="14"/>
      <c r="LG126" s="14"/>
      <c r="LH126" s="14"/>
      <c r="LI126" s="14"/>
      <c r="LJ126" s="14"/>
      <c r="LK126" s="14"/>
      <c r="LL126" s="14"/>
      <c r="LM126" s="14"/>
      <c r="LN126" s="14"/>
      <c r="LO126" s="14"/>
      <c r="LP126" s="14"/>
      <c r="LQ126" s="14"/>
      <c r="LR126" s="14"/>
      <c r="LS126" s="14"/>
      <c r="LT126" s="14"/>
      <c r="LU126" s="14"/>
      <c r="LV126" s="14"/>
      <c r="LW126" s="14"/>
      <c r="LX126" s="14"/>
      <c r="LY126" s="14"/>
      <c r="LZ126" s="14"/>
      <c r="MA126" s="14"/>
      <c r="MB126" s="14"/>
      <c r="MC126" s="14"/>
      <c r="MD126" s="14"/>
      <c r="ME126" s="14"/>
      <c r="MF126" s="14"/>
      <c r="MG126" s="14"/>
      <c r="MH126" s="14"/>
      <c r="MI126" s="14"/>
      <c r="MJ126" s="14"/>
      <c r="MK126" s="14"/>
      <c r="ML126" s="14"/>
      <c r="MM126" s="14"/>
      <c r="MN126" s="14"/>
      <c r="MO126" s="14"/>
      <c r="MP126" s="14"/>
      <c r="MQ126" s="14"/>
      <c r="MR126" s="14"/>
      <c r="MS126" s="14"/>
      <c r="MT126" s="14"/>
      <c r="MU126" s="14"/>
      <c r="MV126" s="14"/>
      <c r="MW126" s="14"/>
      <c r="MX126" s="14"/>
      <c r="MY126" s="14"/>
      <c r="MZ126" s="14"/>
      <c r="NA126" s="14"/>
      <c r="NB126" s="14"/>
      <c r="NC126" s="14"/>
      <c r="ND126" s="14"/>
      <c r="NE126" s="14"/>
      <c r="NF126" s="14"/>
      <c r="NG126" s="14"/>
      <c r="NH126" s="14"/>
      <c r="NI126" s="14"/>
      <c r="NJ126" s="14"/>
      <c r="NK126" s="14"/>
      <c r="NL126" s="14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</row>
    <row r="127" ht="13.5" customHeight="1">
      <c r="A127" s="2"/>
      <c r="B127" s="22"/>
      <c r="C127" s="2"/>
      <c r="D127" s="13"/>
      <c r="E127" s="3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4"/>
      <c r="FJ127" s="14"/>
      <c r="FK127" s="14"/>
      <c r="FL127" s="14"/>
      <c r="FM127" s="14"/>
      <c r="FN127" s="14"/>
      <c r="FO127" s="14"/>
      <c r="FP127" s="14"/>
      <c r="FQ127" s="14"/>
      <c r="FR127" s="14"/>
      <c r="FS127" s="14"/>
      <c r="FT127" s="14"/>
      <c r="FU127" s="14"/>
      <c r="FV127" s="14"/>
      <c r="FW127" s="14"/>
      <c r="FX127" s="14"/>
      <c r="FY127" s="14"/>
      <c r="FZ127" s="14"/>
      <c r="GA127" s="14"/>
      <c r="GB127" s="14"/>
      <c r="GC127" s="14"/>
      <c r="GD127" s="14"/>
      <c r="GE127" s="14"/>
      <c r="GF127" s="14"/>
      <c r="GG127" s="14"/>
      <c r="GH127" s="14"/>
      <c r="GI127" s="14"/>
      <c r="GJ127" s="14"/>
      <c r="GK127" s="14"/>
      <c r="GL127" s="14"/>
      <c r="GM127" s="14"/>
      <c r="GN127" s="14"/>
      <c r="GO127" s="14"/>
      <c r="GP127" s="14"/>
      <c r="GQ127" s="14"/>
      <c r="GR127" s="14"/>
      <c r="GS127" s="14"/>
      <c r="GT127" s="14"/>
      <c r="GU127" s="14"/>
      <c r="GV127" s="14"/>
      <c r="GW127" s="14"/>
      <c r="GX127" s="14"/>
      <c r="GY127" s="14"/>
      <c r="GZ127" s="14"/>
      <c r="HA127" s="14"/>
      <c r="HB127" s="14"/>
      <c r="HC127" s="14"/>
      <c r="HD127" s="14"/>
      <c r="HE127" s="14"/>
      <c r="HF127" s="14"/>
      <c r="HG127" s="14"/>
      <c r="HH127" s="14"/>
      <c r="HI127" s="14"/>
      <c r="HJ127" s="14"/>
      <c r="HK127" s="14"/>
      <c r="HL127" s="14"/>
      <c r="HM127" s="14"/>
      <c r="HN127" s="14"/>
      <c r="HO127" s="14"/>
      <c r="HP127" s="14"/>
      <c r="HQ127" s="14"/>
      <c r="HR127" s="14"/>
      <c r="HS127" s="14"/>
      <c r="HT127" s="14"/>
      <c r="HU127" s="14"/>
      <c r="HV127" s="14"/>
      <c r="HW127" s="14"/>
      <c r="HX127" s="14"/>
      <c r="HY127" s="14"/>
      <c r="HZ127" s="14"/>
      <c r="IA127" s="14"/>
      <c r="IB127" s="14"/>
      <c r="IC127" s="14"/>
      <c r="ID127" s="14"/>
      <c r="IE127" s="14"/>
      <c r="IF127" s="14"/>
      <c r="IG127" s="14"/>
      <c r="IH127" s="14"/>
      <c r="II127" s="14"/>
      <c r="IJ127" s="14"/>
      <c r="IK127" s="14"/>
      <c r="IL127" s="14"/>
      <c r="IM127" s="14"/>
      <c r="IN127" s="14"/>
      <c r="IO127" s="14"/>
      <c r="IP127" s="14"/>
      <c r="IQ127" s="14"/>
      <c r="IR127" s="14"/>
      <c r="IS127" s="14"/>
      <c r="IT127" s="14"/>
      <c r="IU127" s="14"/>
      <c r="IV127" s="14"/>
      <c r="IW127" s="14"/>
      <c r="IX127" s="14"/>
      <c r="IY127" s="14"/>
      <c r="IZ127" s="14"/>
      <c r="JA127" s="14"/>
      <c r="JB127" s="14"/>
      <c r="JC127" s="14"/>
      <c r="JD127" s="14"/>
      <c r="JE127" s="14"/>
      <c r="JF127" s="14"/>
      <c r="JG127" s="14"/>
      <c r="JH127" s="14"/>
      <c r="JI127" s="14"/>
      <c r="JJ127" s="14"/>
      <c r="JK127" s="14"/>
      <c r="JL127" s="14"/>
      <c r="JM127" s="14"/>
      <c r="JN127" s="14"/>
      <c r="JO127" s="14"/>
      <c r="JP127" s="14"/>
      <c r="JQ127" s="14"/>
      <c r="JR127" s="14"/>
      <c r="JS127" s="14"/>
      <c r="JT127" s="14"/>
      <c r="JU127" s="14"/>
      <c r="JV127" s="14"/>
      <c r="JW127" s="14"/>
      <c r="JX127" s="14"/>
      <c r="JY127" s="14"/>
      <c r="JZ127" s="14"/>
      <c r="KA127" s="14"/>
      <c r="KB127" s="14"/>
      <c r="KC127" s="14"/>
      <c r="KD127" s="14"/>
      <c r="KE127" s="14"/>
      <c r="KF127" s="14"/>
      <c r="KG127" s="14"/>
      <c r="KH127" s="14"/>
      <c r="KI127" s="14"/>
      <c r="KJ127" s="14"/>
      <c r="KK127" s="14"/>
      <c r="KL127" s="14"/>
      <c r="KM127" s="14"/>
      <c r="KN127" s="14"/>
      <c r="KO127" s="14"/>
      <c r="KP127" s="14"/>
      <c r="KQ127" s="14"/>
      <c r="KR127" s="14"/>
      <c r="KS127" s="14"/>
      <c r="KT127" s="14"/>
      <c r="KU127" s="14"/>
      <c r="KV127" s="14"/>
      <c r="KW127" s="14"/>
      <c r="KX127" s="14"/>
      <c r="KY127" s="14"/>
      <c r="KZ127" s="14"/>
      <c r="LA127" s="14"/>
      <c r="LB127" s="14"/>
      <c r="LC127" s="14"/>
      <c r="LD127" s="14"/>
      <c r="LE127" s="14"/>
      <c r="LF127" s="14"/>
      <c r="LG127" s="14"/>
      <c r="LH127" s="14"/>
      <c r="LI127" s="14"/>
      <c r="LJ127" s="14"/>
      <c r="LK127" s="14"/>
      <c r="LL127" s="14"/>
      <c r="LM127" s="14"/>
      <c r="LN127" s="14"/>
      <c r="LO127" s="14"/>
      <c r="LP127" s="14"/>
      <c r="LQ127" s="14"/>
      <c r="LR127" s="14"/>
      <c r="LS127" s="14"/>
      <c r="LT127" s="14"/>
      <c r="LU127" s="14"/>
      <c r="LV127" s="14"/>
      <c r="LW127" s="14"/>
      <c r="LX127" s="14"/>
      <c r="LY127" s="14"/>
      <c r="LZ127" s="14"/>
      <c r="MA127" s="14"/>
      <c r="MB127" s="14"/>
      <c r="MC127" s="14"/>
      <c r="MD127" s="14"/>
      <c r="ME127" s="14"/>
      <c r="MF127" s="14"/>
      <c r="MG127" s="14"/>
      <c r="MH127" s="14"/>
      <c r="MI127" s="14"/>
      <c r="MJ127" s="14"/>
      <c r="MK127" s="14"/>
      <c r="ML127" s="14"/>
      <c r="MM127" s="14"/>
      <c r="MN127" s="14"/>
      <c r="MO127" s="14"/>
      <c r="MP127" s="14"/>
      <c r="MQ127" s="14"/>
      <c r="MR127" s="14"/>
      <c r="MS127" s="14"/>
      <c r="MT127" s="14"/>
      <c r="MU127" s="14"/>
      <c r="MV127" s="14"/>
      <c r="MW127" s="14"/>
      <c r="MX127" s="14"/>
      <c r="MY127" s="14"/>
      <c r="MZ127" s="14"/>
      <c r="NA127" s="14"/>
      <c r="NB127" s="14"/>
      <c r="NC127" s="14"/>
      <c r="ND127" s="14"/>
      <c r="NE127" s="14"/>
      <c r="NF127" s="14"/>
      <c r="NG127" s="14"/>
      <c r="NH127" s="14"/>
      <c r="NI127" s="14"/>
      <c r="NJ127" s="14"/>
      <c r="NK127" s="14"/>
      <c r="NL127" s="14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</row>
    <row r="128" ht="13.5" customHeight="1">
      <c r="A128" s="2"/>
      <c r="B128" s="22"/>
      <c r="C128" s="2"/>
      <c r="D128" s="13"/>
      <c r="E128" s="3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4"/>
      <c r="FJ128" s="14"/>
      <c r="FK128" s="14"/>
      <c r="FL128" s="14"/>
      <c r="FM128" s="14"/>
      <c r="FN128" s="14"/>
      <c r="FO128" s="14"/>
      <c r="FP128" s="14"/>
      <c r="FQ128" s="14"/>
      <c r="FR128" s="14"/>
      <c r="FS128" s="14"/>
      <c r="FT128" s="14"/>
      <c r="FU128" s="14"/>
      <c r="FV128" s="14"/>
      <c r="FW128" s="14"/>
      <c r="FX128" s="14"/>
      <c r="FY128" s="14"/>
      <c r="FZ128" s="14"/>
      <c r="GA128" s="14"/>
      <c r="GB128" s="14"/>
      <c r="GC128" s="14"/>
      <c r="GD128" s="14"/>
      <c r="GE128" s="14"/>
      <c r="GF128" s="14"/>
      <c r="GG128" s="14"/>
      <c r="GH128" s="14"/>
      <c r="GI128" s="14"/>
      <c r="GJ128" s="14"/>
      <c r="GK128" s="14"/>
      <c r="GL128" s="14"/>
      <c r="GM128" s="14"/>
      <c r="GN128" s="14"/>
      <c r="GO128" s="14"/>
      <c r="GP128" s="14"/>
      <c r="GQ128" s="14"/>
      <c r="GR128" s="14"/>
      <c r="GS128" s="14"/>
      <c r="GT128" s="14"/>
      <c r="GU128" s="14"/>
      <c r="GV128" s="14"/>
      <c r="GW128" s="14"/>
      <c r="GX128" s="14"/>
      <c r="GY128" s="14"/>
      <c r="GZ128" s="14"/>
      <c r="HA128" s="14"/>
      <c r="HB128" s="14"/>
      <c r="HC128" s="14"/>
      <c r="HD128" s="14"/>
      <c r="HE128" s="14"/>
      <c r="HF128" s="14"/>
      <c r="HG128" s="14"/>
      <c r="HH128" s="14"/>
      <c r="HI128" s="14"/>
      <c r="HJ128" s="14"/>
      <c r="HK128" s="14"/>
      <c r="HL128" s="14"/>
      <c r="HM128" s="14"/>
      <c r="HN128" s="14"/>
      <c r="HO128" s="14"/>
      <c r="HP128" s="14"/>
      <c r="HQ128" s="14"/>
      <c r="HR128" s="14"/>
      <c r="HS128" s="14"/>
      <c r="HT128" s="14"/>
      <c r="HU128" s="14"/>
      <c r="HV128" s="14"/>
      <c r="HW128" s="14"/>
      <c r="HX128" s="14"/>
      <c r="HY128" s="14"/>
      <c r="HZ128" s="14"/>
      <c r="IA128" s="14"/>
      <c r="IB128" s="14"/>
      <c r="IC128" s="14"/>
      <c r="ID128" s="14"/>
      <c r="IE128" s="14"/>
      <c r="IF128" s="14"/>
      <c r="IG128" s="14"/>
      <c r="IH128" s="14"/>
      <c r="II128" s="14"/>
      <c r="IJ128" s="14"/>
      <c r="IK128" s="14"/>
      <c r="IL128" s="14"/>
      <c r="IM128" s="14"/>
      <c r="IN128" s="14"/>
      <c r="IO128" s="14"/>
      <c r="IP128" s="14"/>
      <c r="IQ128" s="14"/>
      <c r="IR128" s="14"/>
      <c r="IS128" s="14"/>
      <c r="IT128" s="14"/>
      <c r="IU128" s="14"/>
      <c r="IV128" s="14"/>
      <c r="IW128" s="14"/>
      <c r="IX128" s="14"/>
      <c r="IY128" s="14"/>
      <c r="IZ128" s="14"/>
      <c r="JA128" s="14"/>
      <c r="JB128" s="14"/>
      <c r="JC128" s="14"/>
      <c r="JD128" s="14"/>
      <c r="JE128" s="14"/>
      <c r="JF128" s="14"/>
      <c r="JG128" s="14"/>
      <c r="JH128" s="14"/>
      <c r="JI128" s="14"/>
      <c r="JJ128" s="14"/>
      <c r="JK128" s="14"/>
      <c r="JL128" s="14"/>
      <c r="JM128" s="14"/>
      <c r="JN128" s="14"/>
      <c r="JO128" s="14"/>
      <c r="JP128" s="14"/>
      <c r="JQ128" s="14"/>
      <c r="JR128" s="14"/>
      <c r="JS128" s="14"/>
      <c r="JT128" s="14"/>
      <c r="JU128" s="14"/>
      <c r="JV128" s="14"/>
      <c r="JW128" s="14"/>
      <c r="JX128" s="14"/>
      <c r="JY128" s="14"/>
      <c r="JZ128" s="14"/>
      <c r="KA128" s="14"/>
      <c r="KB128" s="14"/>
      <c r="KC128" s="14"/>
      <c r="KD128" s="14"/>
      <c r="KE128" s="14"/>
      <c r="KF128" s="14"/>
      <c r="KG128" s="14"/>
      <c r="KH128" s="14"/>
      <c r="KI128" s="14"/>
      <c r="KJ128" s="14"/>
      <c r="KK128" s="14"/>
      <c r="KL128" s="14"/>
      <c r="KM128" s="14"/>
      <c r="KN128" s="14"/>
      <c r="KO128" s="14"/>
      <c r="KP128" s="14"/>
      <c r="KQ128" s="14"/>
      <c r="KR128" s="14"/>
      <c r="KS128" s="14"/>
      <c r="KT128" s="14"/>
      <c r="KU128" s="14"/>
      <c r="KV128" s="14"/>
      <c r="KW128" s="14"/>
      <c r="KX128" s="14"/>
      <c r="KY128" s="14"/>
      <c r="KZ128" s="14"/>
      <c r="LA128" s="14"/>
      <c r="LB128" s="14"/>
      <c r="LC128" s="14"/>
      <c r="LD128" s="14"/>
      <c r="LE128" s="14"/>
      <c r="LF128" s="14"/>
      <c r="LG128" s="14"/>
      <c r="LH128" s="14"/>
      <c r="LI128" s="14"/>
      <c r="LJ128" s="14"/>
      <c r="LK128" s="14"/>
      <c r="LL128" s="14"/>
      <c r="LM128" s="14"/>
      <c r="LN128" s="14"/>
      <c r="LO128" s="14"/>
      <c r="LP128" s="14"/>
      <c r="LQ128" s="14"/>
      <c r="LR128" s="14"/>
      <c r="LS128" s="14"/>
      <c r="LT128" s="14"/>
      <c r="LU128" s="14"/>
      <c r="LV128" s="14"/>
      <c r="LW128" s="14"/>
      <c r="LX128" s="14"/>
      <c r="LY128" s="14"/>
      <c r="LZ128" s="14"/>
      <c r="MA128" s="14"/>
      <c r="MB128" s="14"/>
      <c r="MC128" s="14"/>
      <c r="MD128" s="14"/>
      <c r="ME128" s="14"/>
      <c r="MF128" s="14"/>
      <c r="MG128" s="14"/>
      <c r="MH128" s="14"/>
      <c r="MI128" s="14"/>
      <c r="MJ128" s="14"/>
      <c r="MK128" s="14"/>
      <c r="ML128" s="14"/>
      <c r="MM128" s="14"/>
      <c r="MN128" s="14"/>
      <c r="MO128" s="14"/>
      <c r="MP128" s="14"/>
      <c r="MQ128" s="14"/>
      <c r="MR128" s="14"/>
      <c r="MS128" s="14"/>
      <c r="MT128" s="14"/>
      <c r="MU128" s="14"/>
      <c r="MV128" s="14"/>
      <c r="MW128" s="14"/>
      <c r="MX128" s="14"/>
      <c r="MY128" s="14"/>
      <c r="MZ128" s="14"/>
      <c r="NA128" s="14"/>
      <c r="NB128" s="14"/>
      <c r="NC128" s="14"/>
      <c r="ND128" s="14"/>
      <c r="NE128" s="14"/>
      <c r="NF128" s="14"/>
      <c r="NG128" s="14"/>
      <c r="NH128" s="14"/>
      <c r="NI128" s="14"/>
      <c r="NJ128" s="14"/>
      <c r="NK128" s="14"/>
      <c r="NL128" s="14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</row>
    <row r="129" ht="13.5" customHeight="1">
      <c r="A129" s="2"/>
      <c r="B129" s="22"/>
      <c r="C129" s="2"/>
      <c r="D129" s="13"/>
      <c r="E129" s="3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4"/>
      <c r="EJ129" s="14"/>
      <c r="EK129" s="14"/>
      <c r="EL129" s="14"/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4"/>
      <c r="FJ129" s="14"/>
      <c r="FK129" s="14"/>
      <c r="FL129" s="14"/>
      <c r="FM129" s="14"/>
      <c r="FN129" s="14"/>
      <c r="FO129" s="14"/>
      <c r="FP129" s="14"/>
      <c r="FQ129" s="14"/>
      <c r="FR129" s="14"/>
      <c r="FS129" s="14"/>
      <c r="FT129" s="14"/>
      <c r="FU129" s="14"/>
      <c r="FV129" s="14"/>
      <c r="FW129" s="14"/>
      <c r="FX129" s="14"/>
      <c r="FY129" s="14"/>
      <c r="FZ129" s="14"/>
      <c r="GA129" s="14"/>
      <c r="GB129" s="14"/>
      <c r="GC129" s="14"/>
      <c r="GD129" s="14"/>
      <c r="GE129" s="14"/>
      <c r="GF129" s="14"/>
      <c r="GG129" s="14"/>
      <c r="GH129" s="14"/>
      <c r="GI129" s="14"/>
      <c r="GJ129" s="14"/>
      <c r="GK129" s="14"/>
      <c r="GL129" s="14"/>
      <c r="GM129" s="14"/>
      <c r="GN129" s="14"/>
      <c r="GO129" s="14"/>
      <c r="GP129" s="14"/>
      <c r="GQ129" s="14"/>
      <c r="GR129" s="14"/>
      <c r="GS129" s="14"/>
      <c r="GT129" s="14"/>
      <c r="GU129" s="14"/>
      <c r="GV129" s="14"/>
      <c r="GW129" s="14"/>
      <c r="GX129" s="14"/>
      <c r="GY129" s="14"/>
      <c r="GZ129" s="14"/>
      <c r="HA129" s="14"/>
      <c r="HB129" s="14"/>
      <c r="HC129" s="14"/>
      <c r="HD129" s="14"/>
      <c r="HE129" s="14"/>
      <c r="HF129" s="14"/>
      <c r="HG129" s="14"/>
      <c r="HH129" s="14"/>
      <c r="HI129" s="14"/>
      <c r="HJ129" s="14"/>
      <c r="HK129" s="14"/>
      <c r="HL129" s="14"/>
      <c r="HM129" s="14"/>
      <c r="HN129" s="14"/>
      <c r="HO129" s="14"/>
      <c r="HP129" s="14"/>
      <c r="HQ129" s="14"/>
      <c r="HR129" s="14"/>
      <c r="HS129" s="14"/>
      <c r="HT129" s="14"/>
      <c r="HU129" s="14"/>
      <c r="HV129" s="14"/>
      <c r="HW129" s="14"/>
      <c r="HX129" s="14"/>
      <c r="HY129" s="14"/>
      <c r="HZ129" s="14"/>
      <c r="IA129" s="14"/>
      <c r="IB129" s="14"/>
      <c r="IC129" s="14"/>
      <c r="ID129" s="14"/>
      <c r="IE129" s="14"/>
      <c r="IF129" s="14"/>
      <c r="IG129" s="14"/>
      <c r="IH129" s="14"/>
      <c r="II129" s="14"/>
      <c r="IJ129" s="14"/>
      <c r="IK129" s="14"/>
      <c r="IL129" s="14"/>
      <c r="IM129" s="14"/>
      <c r="IN129" s="14"/>
      <c r="IO129" s="14"/>
      <c r="IP129" s="14"/>
      <c r="IQ129" s="14"/>
      <c r="IR129" s="14"/>
      <c r="IS129" s="14"/>
      <c r="IT129" s="14"/>
      <c r="IU129" s="14"/>
      <c r="IV129" s="14"/>
      <c r="IW129" s="14"/>
      <c r="IX129" s="14"/>
      <c r="IY129" s="14"/>
      <c r="IZ129" s="14"/>
      <c r="JA129" s="14"/>
      <c r="JB129" s="14"/>
      <c r="JC129" s="14"/>
      <c r="JD129" s="14"/>
      <c r="JE129" s="14"/>
      <c r="JF129" s="14"/>
      <c r="JG129" s="14"/>
      <c r="JH129" s="14"/>
      <c r="JI129" s="14"/>
      <c r="JJ129" s="14"/>
      <c r="JK129" s="14"/>
      <c r="JL129" s="14"/>
      <c r="JM129" s="14"/>
      <c r="JN129" s="14"/>
      <c r="JO129" s="14"/>
      <c r="JP129" s="14"/>
      <c r="JQ129" s="14"/>
      <c r="JR129" s="14"/>
      <c r="JS129" s="14"/>
      <c r="JT129" s="14"/>
      <c r="JU129" s="14"/>
      <c r="JV129" s="14"/>
      <c r="JW129" s="14"/>
      <c r="JX129" s="14"/>
      <c r="JY129" s="14"/>
      <c r="JZ129" s="14"/>
      <c r="KA129" s="14"/>
      <c r="KB129" s="14"/>
      <c r="KC129" s="14"/>
      <c r="KD129" s="14"/>
      <c r="KE129" s="14"/>
      <c r="KF129" s="14"/>
      <c r="KG129" s="14"/>
      <c r="KH129" s="14"/>
      <c r="KI129" s="14"/>
      <c r="KJ129" s="14"/>
      <c r="KK129" s="14"/>
      <c r="KL129" s="14"/>
      <c r="KM129" s="14"/>
      <c r="KN129" s="14"/>
      <c r="KO129" s="14"/>
      <c r="KP129" s="14"/>
      <c r="KQ129" s="14"/>
      <c r="KR129" s="14"/>
      <c r="KS129" s="14"/>
      <c r="KT129" s="14"/>
      <c r="KU129" s="14"/>
      <c r="KV129" s="14"/>
      <c r="KW129" s="14"/>
      <c r="KX129" s="14"/>
      <c r="KY129" s="14"/>
      <c r="KZ129" s="14"/>
      <c r="LA129" s="14"/>
      <c r="LB129" s="14"/>
      <c r="LC129" s="14"/>
      <c r="LD129" s="14"/>
      <c r="LE129" s="14"/>
      <c r="LF129" s="14"/>
      <c r="LG129" s="14"/>
      <c r="LH129" s="14"/>
      <c r="LI129" s="14"/>
      <c r="LJ129" s="14"/>
      <c r="LK129" s="14"/>
      <c r="LL129" s="14"/>
      <c r="LM129" s="14"/>
      <c r="LN129" s="14"/>
      <c r="LO129" s="14"/>
      <c r="LP129" s="14"/>
      <c r="LQ129" s="14"/>
      <c r="LR129" s="14"/>
      <c r="LS129" s="14"/>
      <c r="LT129" s="14"/>
      <c r="LU129" s="14"/>
      <c r="LV129" s="14"/>
      <c r="LW129" s="14"/>
      <c r="LX129" s="14"/>
      <c r="LY129" s="14"/>
      <c r="LZ129" s="14"/>
      <c r="MA129" s="14"/>
      <c r="MB129" s="14"/>
      <c r="MC129" s="14"/>
      <c r="MD129" s="14"/>
      <c r="ME129" s="14"/>
      <c r="MF129" s="14"/>
      <c r="MG129" s="14"/>
      <c r="MH129" s="14"/>
      <c r="MI129" s="14"/>
      <c r="MJ129" s="14"/>
      <c r="MK129" s="14"/>
      <c r="ML129" s="14"/>
      <c r="MM129" s="14"/>
      <c r="MN129" s="14"/>
      <c r="MO129" s="14"/>
      <c r="MP129" s="14"/>
      <c r="MQ129" s="14"/>
      <c r="MR129" s="14"/>
      <c r="MS129" s="14"/>
      <c r="MT129" s="14"/>
      <c r="MU129" s="14"/>
      <c r="MV129" s="14"/>
      <c r="MW129" s="14"/>
      <c r="MX129" s="14"/>
      <c r="MY129" s="14"/>
      <c r="MZ129" s="14"/>
      <c r="NA129" s="14"/>
      <c r="NB129" s="14"/>
      <c r="NC129" s="14"/>
      <c r="ND129" s="14"/>
      <c r="NE129" s="14"/>
      <c r="NF129" s="14"/>
      <c r="NG129" s="14"/>
      <c r="NH129" s="14"/>
      <c r="NI129" s="14"/>
      <c r="NJ129" s="14"/>
      <c r="NK129" s="14"/>
      <c r="NL129" s="14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</row>
    <row r="130" ht="13.5" customHeight="1">
      <c r="A130" s="2"/>
      <c r="B130" s="22"/>
      <c r="C130" s="2"/>
      <c r="D130" s="13"/>
      <c r="E130" s="3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4"/>
      <c r="FJ130" s="14"/>
      <c r="FK130" s="14"/>
      <c r="FL130" s="14"/>
      <c r="FM130" s="14"/>
      <c r="FN130" s="14"/>
      <c r="FO130" s="14"/>
      <c r="FP130" s="14"/>
      <c r="FQ130" s="14"/>
      <c r="FR130" s="14"/>
      <c r="FS130" s="14"/>
      <c r="FT130" s="14"/>
      <c r="FU130" s="14"/>
      <c r="FV130" s="14"/>
      <c r="FW130" s="14"/>
      <c r="FX130" s="14"/>
      <c r="FY130" s="14"/>
      <c r="FZ130" s="14"/>
      <c r="GA130" s="14"/>
      <c r="GB130" s="14"/>
      <c r="GC130" s="14"/>
      <c r="GD130" s="14"/>
      <c r="GE130" s="14"/>
      <c r="GF130" s="14"/>
      <c r="GG130" s="14"/>
      <c r="GH130" s="14"/>
      <c r="GI130" s="14"/>
      <c r="GJ130" s="14"/>
      <c r="GK130" s="14"/>
      <c r="GL130" s="14"/>
      <c r="GM130" s="14"/>
      <c r="GN130" s="14"/>
      <c r="GO130" s="14"/>
      <c r="GP130" s="14"/>
      <c r="GQ130" s="14"/>
      <c r="GR130" s="14"/>
      <c r="GS130" s="14"/>
      <c r="GT130" s="14"/>
      <c r="GU130" s="14"/>
      <c r="GV130" s="14"/>
      <c r="GW130" s="14"/>
      <c r="GX130" s="14"/>
      <c r="GY130" s="14"/>
      <c r="GZ130" s="14"/>
      <c r="HA130" s="14"/>
      <c r="HB130" s="14"/>
      <c r="HC130" s="14"/>
      <c r="HD130" s="14"/>
      <c r="HE130" s="14"/>
      <c r="HF130" s="14"/>
      <c r="HG130" s="14"/>
      <c r="HH130" s="14"/>
      <c r="HI130" s="14"/>
      <c r="HJ130" s="14"/>
      <c r="HK130" s="14"/>
      <c r="HL130" s="14"/>
      <c r="HM130" s="14"/>
      <c r="HN130" s="14"/>
      <c r="HO130" s="14"/>
      <c r="HP130" s="14"/>
      <c r="HQ130" s="14"/>
      <c r="HR130" s="14"/>
      <c r="HS130" s="14"/>
      <c r="HT130" s="14"/>
      <c r="HU130" s="14"/>
      <c r="HV130" s="14"/>
      <c r="HW130" s="14"/>
      <c r="HX130" s="14"/>
      <c r="HY130" s="14"/>
      <c r="HZ130" s="14"/>
      <c r="IA130" s="14"/>
      <c r="IB130" s="14"/>
      <c r="IC130" s="14"/>
      <c r="ID130" s="14"/>
      <c r="IE130" s="14"/>
      <c r="IF130" s="14"/>
      <c r="IG130" s="14"/>
      <c r="IH130" s="14"/>
      <c r="II130" s="14"/>
      <c r="IJ130" s="14"/>
      <c r="IK130" s="14"/>
      <c r="IL130" s="14"/>
      <c r="IM130" s="14"/>
      <c r="IN130" s="14"/>
      <c r="IO130" s="14"/>
      <c r="IP130" s="14"/>
      <c r="IQ130" s="14"/>
      <c r="IR130" s="14"/>
      <c r="IS130" s="14"/>
      <c r="IT130" s="14"/>
      <c r="IU130" s="14"/>
      <c r="IV130" s="14"/>
      <c r="IW130" s="14"/>
      <c r="IX130" s="14"/>
      <c r="IY130" s="14"/>
      <c r="IZ130" s="14"/>
      <c r="JA130" s="14"/>
      <c r="JB130" s="14"/>
      <c r="JC130" s="14"/>
      <c r="JD130" s="14"/>
      <c r="JE130" s="14"/>
      <c r="JF130" s="14"/>
      <c r="JG130" s="14"/>
      <c r="JH130" s="14"/>
      <c r="JI130" s="14"/>
      <c r="JJ130" s="14"/>
      <c r="JK130" s="14"/>
      <c r="JL130" s="14"/>
      <c r="JM130" s="14"/>
      <c r="JN130" s="14"/>
      <c r="JO130" s="14"/>
      <c r="JP130" s="14"/>
      <c r="JQ130" s="14"/>
      <c r="JR130" s="14"/>
      <c r="JS130" s="14"/>
      <c r="JT130" s="14"/>
      <c r="JU130" s="14"/>
      <c r="JV130" s="14"/>
      <c r="JW130" s="14"/>
      <c r="JX130" s="14"/>
      <c r="JY130" s="14"/>
      <c r="JZ130" s="14"/>
      <c r="KA130" s="14"/>
      <c r="KB130" s="14"/>
      <c r="KC130" s="14"/>
      <c r="KD130" s="14"/>
      <c r="KE130" s="14"/>
      <c r="KF130" s="14"/>
      <c r="KG130" s="14"/>
      <c r="KH130" s="14"/>
      <c r="KI130" s="14"/>
      <c r="KJ130" s="14"/>
      <c r="KK130" s="14"/>
      <c r="KL130" s="14"/>
      <c r="KM130" s="14"/>
      <c r="KN130" s="14"/>
      <c r="KO130" s="14"/>
      <c r="KP130" s="14"/>
      <c r="KQ130" s="14"/>
      <c r="KR130" s="14"/>
      <c r="KS130" s="14"/>
      <c r="KT130" s="14"/>
      <c r="KU130" s="14"/>
      <c r="KV130" s="14"/>
      <c r="KW130" s="14"/>
      <c r="KX130" s="14"/>
      <c r="KY130" s="14"/>
      <c r="KZ130" s="14"/>
      <c r="LA130" s="14"/>
      <c r="LB130" s="14"/>
      <c r="LC130" s="14"/>
      <c r="LD130" s="14"/>
      <c r="LE130" s="14"/>
      <c r="LF130" s="14"/>
      <c r="LG130" s="14"/>
      <c r="LH130" s="14"/>
      <c r="LI130" s="14"/>
      <c r="LJ130" s="14"/>
      <c r="LK130" s="14"/>
      <c r="LL130" s="14"/>
      <c r="LM130" s="14"/>
      <c r="LN130" s="14"/>
      <c r="LO130" s="14"/>
      <c r="LP130" s="14"/>
      <c r="LQ130" s="14"/>
      <c r="LR130" s="14"/>
      <c r="LS130" s="14"/>
      <c r="LT130" s="14"/>
      <c r="LU130" s="14"/>
      <c r="LV130" s="14"/>
      <c r="LW130" s="14"/>
      <c r="LX130" s="14"/>
      <c r="LY130" s="14"/>
      <c r="LZ130" s="14"/>
      <c r="MA130" s="14"/>
      <c r="MB130" s="14"/>
      <c r="MC130" s="14"/>
      <c r="MD130" s="14"/>
      <c r="ME130" s="14"/>
      <c r="MF130" s="14"/>
      <c r="MG130" s="14"/>
      <c r="MH130" s="14"/>
      <c r="MI130" s="14"/>
      <c r="MJ130" s="14"/>
      <c r="MK130" s="14"/>
      <c r="ML130" s="14"/>
      <c r="MM130" s="14"/>
      <c r="MN130" s="14"/>
      <c r="MO130" s="14"/>
      <c r="MP130" s="14"/>
      <c r="MQ130" s="14"/>
      <c r="MR130" s="14"/>
      <c r="MS130" s="14"/>
      <c r="MT130" s="14"/>
      <c r="MU130" s="14"/>
      <c r="MV130" s="14"/>
      <c r="MW130" s="14"/>
      <c r="MX130" s="14"/>
      <c r="MY130" s="14"/>
      <c r="MZ130" s="14"/>
      <c r="NA130" s="14"/>
      <c r="NB130" s="14"/>
      <c r="NC130" s="14"/>
      <c r="ND130" s="14"/>
      <c r="NE130" s="14"/>
      <c r="NF130" s="14"/>
      <c r="NG130" s="14"/>
      <c r="NH130" s="14"/>
      <c r="NI130" s="14"/>
      <c r="NJ130" s="14"/>
      <c r="NK130" s="14"/>
      <c r="NL130" s="14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</row>
    <row r="131" ht="13.5" customHeight="1">
      <c r="A131" s="2"/>
      <c r="B131" s="22"/>
      <c r="C131" s="2"/>
      <c r="D131" s="13"/>
      <c r="E131" s="3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4"/>
      <c r="EJ131" s="14"/>
      <c r="EK131" s="14"/>
      <c r="EL131" s="14"/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4"/>
      <c r="FJ131" s="14"/>
      <c r="FK131" s="14"/>
      <c r="FL131" s="14"/>
      <c r="FM131" s="14"/>
      <c r="FN131" s="14"/>
      <c r="FO131" s="14"/>
      <c r="FP131" s="14"/>
      <c r="FQ131" s="14"/>
      <c r="FR131" s="14"/>
      <c r="FS131" s="14"/>
      <c r="FT131" s="14"/>
      <c r="FU131" s="14"/>
      <c r="FV131" s="14"/>
      <c r="FW131" s="14"/>
      <c r="FX131" s="14"/>
      <c r="FY131" s="14"/>
      <c r="FZ131" s="14"/>
      <c r="GA131" s="14"/>
      <c r="GB131" s="14"/>
      <c r="GC131" s="14"/>
      <c r="GD131" s="14"/>
      <c r="GE131" s="14"/>
      <c r="GF131" s="14"/>
      <c r="GG131" s="14"/>
      <c r="GH131" s="14"/>
      <c r="GI131" s="14"/>
      <c r="GJ131" s="14"/>
      <c r="GK131" s="14"/>
      <c r="GL131" s="14"/>
      <c r="GM131" s="14"/>
      <c r="GN131" s="14"/>
      <c r="GO131" s="14"/>
      <c r="GP131" s="14"/>
      <c r="GQ131" s="14"/>
      <c r="GR131" s="14"/>
      <c r="GS131" s="14"/>
      <c r="GT131" s="14"/>
      <c r="GU131" s="14"/>
      <c r="GV131" s="14"/>
      <c r="GW131" s="14"/>
      <c r="GX131" s="14"/>
      <c r="GY131" s="14"/>
      <c r="GZ131" s="14"/>
      <c r="HA131" s="14"/>
      <c r="HB131" s="14"/>
      <c r="HC131" s="14"/>
      <c r="HD131" s="14"/>
      <c r="HE131" s="14"/>
      <c r="HF131" s="14"/>
      <c r="HG131" s="14"/>
      <c r="HH131" s="14"/>
      <c r="HI131" s="14"/>
      <c r="HJ131" s="14"/>
      <c r="HK131" s="14"/>
      <c r="HL131" s="14"/>
      <c r="HM131" s="14"/>
      <c r="HN131" s="14"/>
      <c r="HO131" s="14"/>
      <c r="HP131" s="14"/>
      <c r="HQ131" s="14"/>
      <c r="HR131" s="14"/>
      <c r="HS131" s="14"/>
      <c r="HT131" s="14"/>
      <c r="HU131" s="14"/>
      <c r="HV131" s="14"/>
      <c r="HW131" s="14"/>
      <c r="HX131" s="14"/>
      <c r="HY131" s="14"/>
      <c r="HZ131" s="14"/>
      <c r="IA131" s="14"/>
      <c r="IB131" s="14"/>
      <c r="IC131" s="14"/>
      <c r="ID131" s="14"/>
      <c r="IE131" s="14"/>
      <c r="IF131" s="14"/>
      <c r="IG131" s="14"/>
      <c r="IH131" s="14"/>
      <c r="II131" s="14"/>
      <c r="IJ131" s="14"/>
      <c r="IK131" s="14"/>
      <c r="IL131" s="14"/>
      <c r="IM131" s="14"/>
      <c r="IN131" s="14"/>
      <c r="IO131" s="14"/>
      <c r="IP131" s="14"/>
      <c r="IQ131" s="14"/>
      <c r="IR131" s="14"/>
      <c r="IS131" s="14"/>
      <c r="IT131" s="14"/>
      <c r="IU131" s="14"/>
      <c r="IV131" s="14"/>
      <c r="IW131" s="14"/>
      <c r="IX131" s="14"/>
      <c r="IY131" s="14"/>
      <c r="IZ131" s="14"/>
      <c r="JA131" s="14"/>
      <c r="JB131" s="14"/>
      <c r="JC131" s="14"/>
      <c r="JD131" s="14"/>
      <c r="JE131" s="14"/>
      <c r="JF131" s="14"/>
      <c r="JG131" s="14"/>
      <c r="JH131" s="14"/>
      <c r="JI131" s="14"/>
      <c r="JJ131" s="14"/>
      <c r="JK131" s="14"/>
      <c r="JL131" s="14"/>
      <c r="JM131" s="14"/>
      <c r="JN131" s="14"/>
      <c r="JO131" s="14"/>
      <c r="JP131" s="14"/>
      <c r="JQ131" s="14"/>
      <c r="JR131" s="14"/>
      <c r="JS131" s="14"/>
      <c r="JT131" s="14"/>
      <c r="JU131" s="14"/>
      <c r="JV131" s="14"/>
      <c r="JW131" s="14"/>
      <c r="JX131" s="14"/>
      <c r="JY131" s="14"/>
      <c r="JZ131" s="14"/>
      <c r="KA131" s="14"/>
      <c r="KB131" s="14"/>
      <c r="KC131" s="14"/>
      <c r="KD131" s="14"/>
      <c r="KE131" s="14"/>
      <c r="KF131" s="14"/>
      <c r="KG131" s="14"/>
      <c r="KH131" s="14"/>
      <c r="KI131" s="14"/>
      <c r="KJ131" s="14"/>
      <c r="KK131" s="14"/>
      <c r="KL131" s="14"/>
      <c r="KM131" s="14"/>
      <c r="KN131" s="14"/>
      <c r="KO131" s="14"/>
      <c r="KP131" s="14"/>
      <c r="KQ131" s="14"/>
      <c r="KR131" s="14"/>
      <c r="KS131" s="14"/>
      <c r="KT131" s="14"/>
      <c r="KU131" s="14"/>
      <c r="KV131" s="14"/>
      <c r="KW131" s="14"/>
      <c r="KX131" s="14"/>
      <c r="KY131" s="14"/>
      <c r="KZ131" s="14"/>
      <c r="LA131" s="14"/>
      <c r="LB131" s="14"/>
      <c r="LC131" s="14"/>
      <c r="LD131" s="14"/>
      <c r="LE131" s="14"/>
      <c r="LF131" s="14"/>
      <c r="LG131" s="14"/>
      <c r="LH131" s="14"/>
      <c r="LI131" s="14"/>
      <c r="LJ131" s="14"/>
      <c r="LK131" s="14"/>
      <c r="LL131" s="14"/>
      <c r="LM131" s="14"/>
      <c r="LN131" s="14"/>
      <c r="LO131" s="14"/>
      <c r="LP131" s="14"/>
      <c r="LQ131" s="14"/>
      <c r="LR131" s="14"/>
      <c r="LS131" s="14"/>
      <c r="LT131" s="14"/>
      <c r="LU131" s="14"/>
      <c r="LV131" s="14"/>
      <c r="LW131" s="14"/>
      <c r="LX131" s="14"/>
      <c r="LY131" s="14"/>
      <c r="LZ131" s="14"/>
      <c r="MA131" s="14"/>
      <c r="MB131" s="14"/>
      <c r="MC131" s="14"/>
      <c r="MD131" s="14"/>
      <c r="ME131" s="14"/>
      <c r="MF131" s="14"/>
      <c r="MG131" s="14"/>
      <c r="MH131" s="14"/>
      <c r="MI131" s="14"/>
      <c r="MJ131" s="14"/>
      <c r="MK131" s="14"/>
      <c r="ML131" s="14"/>
      <c r="MM131" s="14"/>
      <c r="MN131" s="14"/>
      <c r="MO131" s="14"/>
      <c r="MP131" s="14"/>
      <c r="MQ131" s="14"/>
      <c r="MR131" s="14"/>
      <c r="MS131" s="14"/>
      <c r="MT131" s="14"/>
      <c r="MU131" s="14"/>
      <c r="MV131" s="14"/>
      <c r="MW131" s="14"/>
      <c r="MX131" s="14"/>
      <c r="MY131" s="14"/>
      <c r="MZ131" s="14"/>
      <c r="NA131" s="14"/>
      <c r="NB131" s="14"/>
      <c r="NC131" s="14"/>
      <c r="ND131" s="14"/>
      <c r="NE131" s="14"/>
      <c r="NF131" s="14"/>
      <c r="NG131" s="14"/>
      <c r="NH131" s="14"/>
      <c r="NI131" s="14"/>
      <c r="NJ131" s="14"/>
      <c r="NK131" s="14"/>
      <c r="NL131" s="14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</row>
    <row r="132" ht="13.5" customHeight="1">
      <c r="A132" s="2"/>
      <c r="B132" s="22"/>
      <c r="C132" s="2"/>
      <c r="D132" s="13"/>
      <c r="E132" s="3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4"/>
      <c r="EJ132" s="14"/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4"/>
      <c r="FJ132" s="14"/>
      <c r="FK132" s="14"/>
      <c r="FL132" s="14"/>
      <c r="FM132" s="14"/>
      <c r="FN132" s="14"/>
      <c r="FO132" s="14"/>
      <c r="FP132" s="14"/>
      <c r="FQ132" s="14"/>
      <c r="FR132" s="14"/>
      <c r="FS132" s="14"/>
      <c r="FT132" s="14"/>
      <c r="FU132" s="14"/>
      <c r="FV132" s="14"/>
      <c r="FW132" s="14"/>
      <c r="FX132" s="14"/>
      <c r="FY132" s="14"/>
      <c r="FZ132" s="14"/>
      <c r="GA132" s="14"/>
      <c r="GB132" s="14"/>
      <c r="GC132" s="14"/>
      <c r="GD132" s="14"/>
      <c r="GE132" s="14"/>
      <c r="GF132" s="14"/>
      <c r="GG132" s="14"/>
      <c r="GH132" s="14"/>
      <c r="GI132" s="14"/>
      <c r="GJ132" s="14"/>
      <c r="GK132" s="14"/>
      <c r="GL132" s="14"/>
      <c r="GM132" s="14"/>
      <c r="GN132" s="14"/>
      <c r="GO132" s="14"/>
      <c r="GP132" s="14"/>
      <c r="GQ132" s="14"/>
      <c r="GR132" s="14"/>
      <c r="GS132" s="14"/>
      <c r="GT132" s="14"/>
      <c r="GU132" s="14"/>
      <c r="GV132" s="14"/>
      <c r="GW132" s="14"/>
      <c r="GX132" s="14"/>
      <c r="GY132" s="14"/>
      <c r="GZ132" s="14"/>
      <c r="HA132" s="14"/>
      <c r="HB132" s="14"/>
      <c r="HC132" s="14"/>
      <c r="HD132" s="14"/>
      <c r="HE132" s="14"/>
      <c r="HF132" s="14"/>
      <c r="HG132" s="14"/>
      <c r="HH132" s="14"/>
      <c r="HI132" s="14"/>
      <c r="HJ132" s="14"/>
      <c r="HK132" s="14"/>
      <c r="HL132" s="14"/>
      <c r="HM132" s="14"/>
      <c r="HN132" s="14"/>
      <c r="HO132" s="14"/>
      <c r="HP132" s="14"/>
      <c r="HQ132" s="14"/>
      <c r="HR132" s="14"/>
      <c r="HS132" s="14"/>
      <c r="HT132" s="14"/>
      <c r="HU132" s="14"/>
      <c r="HV132" s="14"/>
      <c r="HW132" s="14"/>
      <c r="HX132" s="14"/>
      <c r="HY132" s="14"/>
      <c r="HZ132" s="14"/>
      <c r="IA132" s="14"/>
      <c r="IB132" s="14"/>
      <c r="IC132" s="14"/>
      <c r="ID132" s="14"/>
      <c r="IE132" s="14"/>
      <c r="IF132" s="14"/>
      <c r="IG132" s="14"/>
      <c r="IH132" s="14"/>
      <c r="II132" s="14"/>
      <c r="IJ132" s="14"/>
      <c r="IK132" s="14"/>
      <c r="IL132" s="14"/>
      <c r="IM132" s="14"/>
      <c r="IN132" s="14"/>
      <c r="IO132" s="14"/>
      <c r="IP132" s="14"/>
      <c r="IQ132" s="14"/>
      <c r="IR132" s="14"/>
      <c r="IS132" s="14"/>
      <c r="IT132" s="14"/>
      <c r="IU132" s="14"/>
      <c r="IV132" s="14"/>
      <c r="IW132" s="14"/>
      <c r="IX132" s="14"/>
      <c r="IY132" s="14"/>
      <c r="IZ132" s="14"/>
      <c r="JA132" s="14"/>
      <c r="JB132" s="14"/>
      <c r="JC132" s="14"/>
      <c r="JD132" s="14"/>
      <c r="JE132" s="14"/>
      <c r="JF132" s="14"/>
      <c r="JG132" s="14"/>
      <c r="JH132" s="14"/>
      <c r="JI132" s="14"/>
      <c r="JJ132" s="14"/>
      <c r="JK132" s="14"/>
      <c r="JL132" s="14"/>
      <c r="JM132" s="14"/>
      <c r="JN132" s="14"/>
      <c r="JO132" s="14"/>
      <c r="JP132" s="14"/>
      <c r="JQ132" s="14"/>
      <c r="JR132" s="14"/>
      <c r="JS132" s="14"/>
      <c r="JT132" s="14"/>
      <c r="JU132" s="14"/>
      <c r="JV132" s="14"/>
      <c r="JW132" s="14"/>
      <c r="JX132" s="14"/>
      <c r="JY132" s="14"/>
      <c r="JZ132" s="14"/>
      <c r="KA132" s="14"/>
      <c r="KB132" s="14"/>
      <c r="KC132" s="14"/>
      <c r="KD132" s="14"/>
      <c r="KE132" s="14"/>
      <c r="KF132" s="14"/>
      <c r="KG132" s="14"/>
      <c r="KH132" s="14"/>
      <c r="KI132" s="14"/>
      <c r="KJ132" s="14"/>
      <c r="KK132" s="14"/>
      <c r="KL132" s="14"/>
      <c r="KM132" s="14"/>
      <c r="KN132" s="14"/>
      <c r="KO132" s="14"/>
      <c r="KP132" s="14"/>
      <c r="KQ132" s="14"/>
      <c r="KR132" s="14"/>
      <c r="KS132" s="14"/>
      <c r="KT132" s="14"/>
      <c r="KU132" s="14"/>
      <c r="KV132" s="14"/>
      <c r="KW132" s="14"/>
      <c r="KX132" s="14"/>
      <c r="KY132" s="14"/>
      <c r="KZ132" s="14"/>
      <c r="LA132" s="14"/>
      <c r="LB132" s="14"/>
      <c r="LC132" s="14"/>
      <c r="LD132" s="14"/>
      <c r="LE132" s="14"/>
      <c r="LF132" s="14"/>
      <c r="LG132" s="14"/>
      <c r="LH132" s="14"/>
      <c r="LI132" s="14"/>
      <c r="LJ132" s="14"/>
      <c r="LK132" s="14"/>
      <c r="LL132" s="14"/>
      <c r="LM132" s="14"/>
      <c r="LN132" s="14"/>
      <c r="LO132" s="14"/>
      <c r="LP132" s="14"/>
      <c r="LQ132" s="14"/>
      <c r="LR132" s="14"/>
      <c r="LS132" s="14"/>
      <c r="LT132" s="14"/>
      <c r="LU132" s="14"/>
      <c r="LV132" s="14"/>
      <c r="LW132" s="14"/>
      <c r="LX132" s="14"/>
      <c r="LY132" s="14"/>
      <c r="LZ132" s="14"/>
      <c r="MA132" s="14"/>
      <c r="MB132" s="14"/>
      <c r="MC132" s="14"/>
      <c r="MD132" s="14"/>
      <c r="ME132" s="14"/>
      <c r="MF132" s="14"/>
      <c r="MG132" s="14"/>
      <c r="MH132" s="14"/>
      <c r="MI132" s="14"/>
      <c r="MJ132" s="14"/>
      <c r="MK132" s="14"/>
      <c r="ML132" s="14"/>
      <c r="MM132" s="14"/>
      <c r="MN132" s="14"/>
      <c r="MO132" s="14"/>
      <c r="MP132" s="14"/>
      <c r="MQ132" s="14"/>
      <c r="MR132" s="14"/>
      <c r="MS132" s="14"/>
      <c r="MT132" s="14"/>
      <c r="MU132" s="14"/>
      <c r="MV132" s="14"/>
      <c r="MW132" s="14"/>
      <c r="MX132" s="14"/>
      <c r="MY132" s="14"/>
      <c r="MZ132" s="14"/>
      <c r="NA132" s="14"/>
      <c r="NB132" s="14"/>
      <c r="NC132" s="14"/>
      <c r="ND132" s="14"/>
      <c r="NE132" s="14"/>
      <c r="NF132" s="14"/>
      <c r="NG132" s="14"/>
      <c r="NH132" s="14"/>
      <c r="NI132" s="14"/>
      <c r="NJ132" s="14"/>
      <c r="NK132" s="14"/>
      <c r="NL132" s="14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</row>
    <row r="133" ht="13.5" customHeight="1">
      <c r="A133" s="2"/>
      <c r="B133" s="22"/>
      <c r="C133" s="2"/>
      <c r="D133" s="13"/>
      <c r="E133" s="3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4"/>
      <c r="FJ133" s="14"/>
      <c r="FK133" s="14"/>
      <c r="FL133" s="14"/>
      <c r="FM133" s="14"/>
      <c r="FN133" s="14"/>
      <c r="FO133" s="14"/>
      <c r="FP133" s="14"/>
      <c r="FQ133" s="14"/>
      <c r="FR133" s="14"/>
      <c r="FS133" s="14"/>
      <c r="FT133" s="14"/>
      <c r="FU133" s="14"/>
      <c r="FV133" s="14"/>
      <c r="FW133" s="14"/>
      <c r="FX133" s="14"/>
      <c r="FY133" s="14"/>
      <c r="FZ133" s="14"/>
      <c r="GA133" s="14"/>
      <c r="GB133" s="14"/>
      <c r="GC133" s="14"/>
      <c r="GD133" s="14"/>
      <c r="GE133" s="14"/>
      <c r="GF133" s="14"/>
      <c r="GG133" s="14"/>
      <c r="GH133" s="14"/>
      <c r="GI133" s="14"/>
      <c r="GJ133" s="14"/>
      <c r="GK133" s="14"/>
      <c r="GL133" s="14"/>
      <c r="GM133" s="14"/>
      <c r="GN133" s="14"/>
      <c r="GO133" s="14"/>
      <c r="GP133" s="14"/>
      <c r="GQ133" s="14"/>
      <c r="GR133" s="14"/>
      <c r="GS133" s="14"/>
      <c r="GT133" s="14"/>
      <c r="GU133" s="14"/>
      <c r="GV133" s="14"/>
      <c r="GW133" s="14"/>
      <c r="GX133" s="14"/>
      <c r="GY133" s="14"/>
      <c r="GZ133" s="14"/>
      <c r="HA133" s="14"/>
      <c r="HB133" s="14"/>
      <c r="HC133" s="14"/>
      <c r="HD133" s="14"/>
      <c r="HE133" s="14"/>
      <c r="HF133" s="14"/>
      <c r="HG133" s="14"/>
      <c r="HH133" s="14"/>
      <c r="HI133" s="14"/>
      <c r="HJ133" s="14"/>
      <c r="HK133" s="14"/>
      <c r="HL133" s="14"/>
      <c r="HM133" s="14"/>
      <c r="HN133" s="14"/>
      <c r="HO133" s="14"/>
      <c r="HP133" s="14"/>
      <c r="HQ133" s="14"/>
      <c r="HR133" s="14"/>
      <c r="HS133" s="14"/>
      <c r="HT133" s="14"/>
      <c r="HU133" s="14"/>
      <c r="HV133" s="14"/>
      <c r="HW133" s="14"/>
      <c r="HX133" s="14"/>
      <c r="HY133" s="14"/>
      <c r="HZ133" s="14"/>
      <c r="IA133" s="14"/>
      <c r="IB133" s="14"/>
      <c r="IC133" s="14"/>
      <c r="ID133" s="14"/>
      <c r="IE133" s="14"/>
      <c r="IF133" s="14"/>
      <c r="IG133" s="14"/>
      <c r="IH133" s="14"/>
      <c r="II133" s="14"/>
      <c r="IJ133" s="14"/>
      <c r="IK133" s="14"/>
      <c r="IL133" s="14"/>
      <c r="IM133" s="14"/>
      <c r="IN133" s="14"/>
      <c r="IO133" s="14"/>
      <c r="IP133" s="14"/>
      <c r="IQ133" s="14"/>
      <c r="IR133" s="14"/>
      <c r="IS133" s="14"/>
      <c r="IT133" s="14"/>
      <c r="IU133" s="14"/>
      <c r="IV133" s="14"/>
      <c r="IW133" s="14"/>
      <c r="IX133" s="14"/>
      <c r="IY133" s="14"/>
      <c r="IZ133" s="14"/>
      <c r="JA133" s="14"/>
      <c r="JB133" s="14"/>
      <c r="JC133" s="14"/>
      <c r="JD133" s="14"/>
      <c r="JE133" s="14"/>
      <c r="JF133" s="14"/>
      <c r="JG133" s="14"/>
      <c r="JH133" s="14"/>
      <c r="JI133" s="14"/>
      <c r="JJ133" s="14"/>
      <c r="JK133" s="14"/>
      <c r="JL133" s="14"/>
      <c r="JM133" s="14"/>
      <c r="JN133" s="14"/>
      <c r="JO133" s="14"/>
      <c r="JP133" s="14"/>
      <c r="JQ133" s="14"/>
      <c r="JR133" s="14"/>
      <c r="JS133" s="14"/>
      <c r="JT133" s="14"/>
      <c r="JU133" s="14"/>
      <c r="JV133" s="14"/>
      <c r="JW133" s="14"/>
      <c r="JX133" s="14"/>
      <c r="JY133" s="14"/>
      <c r="JZ133" s="14"/>
      <c r="KA133" s="14"/>
      <c r="KB133" s="14"/>
      <c r="KC133" s="14"/>
      <c r="KD133" s="14"/>
      <c r="KE133" s="14"/>
      <c r="KF133" s="14"/>
      <c r="KG133" s="14"/>
      <c r="KH133" s="14"/>
      <c r="KI133" s="14"/>
      <c r="KJ133" s="14"/>
      <c r="KK133" s="14"/>
      <c r="KL133" s="14"/>
      <c r="KM133" s="14"/>
      <c r="KN133" s="14"/>
      <c r="KO133" s="14"/>
      <c r="KP133" s="14"/>
      <c r="KQ133" s="14"/>
      <c r="KR133" s="14"/>
      <c r="KS133" s="14"/>
      <c r="KT133" s="14"/>
      <c r="KU133" s="14"/>
      <c r="KV133" s="14"/>
      <c r="KW133" s="14"/>
      <c r="KX133" s="14"/>
      <c r="KY133" s="14"/>
      <c r="KZ133" s="14"/>
      <c r="LA133" s="14"/>
      <c r="LB133" s="14"/>
      <c r="LC133" s="14"/>
      <c r="LD133" s="14"/>
      <c r="LE133" s="14"/>
      <c r="LF133" s="14"/>
      <c r="LG133" s="14"/>
      <c r="LH133" s="14"/>
      <c r="LI133" s="14"/>
      <c r="LJ133" s="14"/>
      <c r="LK133" s="14"/>
      <c r="LL133" s="14"/>
      <c r="LM133" s="14"/>
      <c r="LN133" s="14"/>
      <c r="LO133" s="14"/>
      <c r="LP133" s="14"/>
      <c r="LQ133" s="14"/>
      <c r="LR133" s="14"/>
      <c r="LS133" s="14"/>
      <c r="LT133" s="14"/>
      <c r="LU133" s="14"/>
      <c r="LV133" s="14"/>
      <c r="LW133" s="14"/>
      <c r="LX133" s="14"/>
      <c r="LY133" s="14"/>
      <c r="LZ133" s="14"/>
      <c r="MA133" s="14"/>
      <c r="MB133" s="14"/>
      <c r="MC133" s="14"/>
      <c r="MD133" s="14"/>
      <c r="ME133" s="14"/>
      <c r="MF133" s="14"/>
      <c r="MG133" s="14"/>
      <c r="MH133" s="14"/>
      <c r="MI133" s="14"/>
      <c r="MJ133" s="14"/>
      <c r="MK133" s="14"/>
      <c r="ML133" s="14"/>
      <c r="MM133" s="14"/>
      <c r="MN133" s="14"/>
      <c r="MO133" s="14"/>
      <c r="MP133" s="14"/>
      <c r="MQ133" s="14"/>
      <c r="MR133" s="14"/>
      <c r="MS133" s="14"/>
      <c r="MT133" s="14"/>
      <c r="MU133" s="14"/>
      <c r="MV133" s="14"/>
      <c r="MW133" s="14"/>
      <c r="MX133" s="14"/>
      <c r="MY133" s="14"/>
      <c r="MZ133" s="14"/>
      <c r="NA133" s="14"/>
      <c r="NB133" s="14"/>
      <c r="NC133" s="14"/>
      <c r="ND133" s="14"/>
      <c r="NE133" s="14"/>
      <c r="NF133" s="14"/>
      <c r="NG133" s="14"/>
      <c r="NH133" s="14"/>
      <c r="NI133" s="14"/>
      <c r="NJ133" s="14"/>
      <c r="NK133" s="14"/>
      <c r="NL133" s="14"/>
      <c r="NM133" s="3"/>
      <c r="NN133" s="3"/>
      <c r="NO133" s="3"/>
      <c r="NP133" s="3"/>
      <c r="NQ133" s="3"/>
      <c r="NR133" s="3"/>
      <c r="NS133" s="3"/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</row>
    <row r="134" ht="13.5" customHeight="1">
      <c r="A134" s="2"/>
      <c r="B134" s="22"/>
      <c r="C134" s="2"/>
      <c r="D134" s="13"/>
      <c r="E134" s="3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4"/>
      <c r="FJ134" s="14"/>
      <c r="FK134" s="14"/>
      <c r="FL134" s="14"/>
      <c r="FM134" s="14"/>
      <c r="FN134" s="14"/>
      <c r="FO134" s="14"/>
      <c r="FP134" s="14"/>
      <c r="FQ134" s="14"/>
      <c r="FR134" s="14"/>
      <c r="FS134" s="14"/>
      <c r="FT134" s="14"/>
      <c r="FU134" s="14"/>
      <c r="FV134" s="14"/>
      <c r="FW134" s="14"/>
      <c r="FX134" s="14"/>
      <c r="FY134" s="14"/>
      <c r="FZ134" s="14"/>
      <c r="GA134" s="14"/>
      <c r="GB134" s="14"/>
      <c r="GC134" s="14"/>
      <c r="GD134" s="14"/>
      <c r="GE134" s="14"/>
      <c r="GF134" s="14"/>
      <c r="GG134" s="14"/>
      <c r="GH134" s="14"/>
      <c r="GI134" s="14"/>
      <c r="GJ134" s="14"/>
      <c r="GK134" s="14"/>
      <c r="GL134" s="14"/>
      <c r="GM134" s="14"/>
      <c r="GN134" s="14"/>
      <c r="GO134" s="14"/>
      <c r="GP134" s="14"/>
      <c r="GQ134" s="14"/>
      <c r="GR134" s="14"/>
      <c r="GS134" s="14"/>
      <c r="GT134" s="14"/>
      <c r="GU134" s="14"/>
      <c r="GV134" s="14"/>
      <c r="GW134" s="14"/>
      <c r="GX134" s="14"/>
      <c r="GY134" s="14"/>
      <c r="GZ134" s="14"/>
      <c r="HA134" s="14"/>
      <c r="HB134" s="14"/>
      <c r="HC134" s="14"/>
      <c r="HD134" s="14"/>
      <c r="HE134" s="14"/>
      <c r="HF134" s="14"/>
      <c r="HG134" s="14"/>
      <c r="HH134" s="14"/>
      <c r="HI134" s="14"/>
      <c r="HJ134" s="14"/>
      <c r="HK134" s="14"/>
      <c r="HL134" s="14"/>
      <c r="HM134" s="14"/>
      <c r="HN134" s="14"/>
      <c r="HO134" s="14"/>
      <c r="HP134" s="14"/>
      <c r="HQ134" s="14"/>
      <c r="HR134" s="14"/>
      <c r="HS134" s="14"/>
      <c r="HT134" s="14"/>
      <c r="HU134" s="14"/>
      <c r="HV134" s="14"/>
      <c r="HW134" s="14"/>
      <c r="HX134" s="14"/>
      <c r="HY134" s="14"/>
      <c r="HZ134" s="14"/>
      <c r="IA134" s="14"/>
      <c r="IB134" s="14"/>
      <c r="IC134" s="14"/>
      <c r="ID134" s="14"/>
      <c r="IE134" s="14"/>
      <c r="IF134" s="14"/>
      <c r="IG134" s="14"/>
      <c r="IH134" s="14"/>
      <c r="II134" s="14"/>
      <c r="IJ134" s="14"/>
      <c r="IK134" s="14"/>
      <c r="IL134" s="14"/>
      <c r="IM134" s="14"/>
      <c r="IN134" s="14"/>
      <c r="IO134" s="14"/>
      <c r="IP134" s="14"/>
      <c r="IQ134" s="14"/>
      <c r="IR134" s="14"/>
      <c r="IS134" s="14"/>
      <c r="IT134" s="14"/>
      <c r="IU134" s="14"/>
      <c r="IV134" s="14"/>
      <c r="IW134" s="14"/>
      <c r="IX134" s="14"/>
      <c r="IY134" s="14"/>
      <c r="IZ134" s="14"/>
      <c r="JA134" s="14"/>
      <c r="JB134" s="14"/>
      <c r="JC134" s="14"/>
      <c r="JD134" s="14"/>
      <c r="JE134" s="14"/>
      <c r="JF134" s="14"/>
      <c r="JG134" s="14"/>
      <c r="JH134" s="14"/>
      <c r="JI134" s="14"/>
      <c r="JJ134" s="14"/>
      <c r="JK134" s="14"/>
      <c r="JL134" s="14"/>
      <c r="JM134" s="14"/>
      <c r="JN134" s="14"/>
      <c r="JO134" s="14"/>
      <c r="JP134" s="14"/>
      <c r="JQ134" s="14"/>
      <c r="JR134" s="14"/>
      <c r="JS134" s="14"/>
      <c r="JT134" s="14"/>
      <c r="JU134" s="14"/>
      <c r="JV134" s="14"/>
      <c r="JW134" s="14"/>
      <c r="JX134" s="14"/>
      <c r="JY134" s="14"/>
      <c r="JZ134" s="14"/>
      <c r="KA134" s="14"/>
      <c r="KB134" s="14"/>
      <c r="KC134" s="14"/>
      <c r="KD134" s="14"/>
      <c r="KE134" s="14"/>
      <c r="KF134" s="14"/>
      <c r="KG134" s="14"/>
      <c r="KH134" s="14"/>
      <c r="KI134" s="14"/>
      <c r="KJ134" s="14"/>
      <c r="KK134" s="14"/>
      <c r="KL134" s="14"/>
      <c r="KM134" s="14"/>
      <c r="KN134" s="14"/>
      <c r="KO134" s="14"/>
      <c r="KP134" s="14"/>
      <c r="KQ134" s="14"/>
      <c r="KR134" s="14"/>
      <c r="KS134" s="14"/>
      <c r="KT134" s="14"/>
      <c r="KU134" s="14"/>
      <c r="KV134" s="14"/>
      <c r="KW134" s="14"/>
      <c r="KX134" s="14"/>
      <c r="KY134" s="14"/>
      <c r="KZ134" s="14"/>
      <c r="LA134" s="14"/>
      <c r="LB134" s="14"/>
      <c r="LC134" s="14"/>
      <c r="LD134" s="14"/>
      <c r="LE134" s="14"/>
      <c r="LF134" s="14"/>
      <c r="LG134" s="14"/>
      <c r="LH134" s="14"/>
      <c r="LI134" s="14"/>
      <c r="LJ134" s="14"/>
      <c r="LK134" s="14"/>
      <c r="LL134" s="14"/>
      <c r="LM134" s="14"/>
      <c r="LN134" s="14"/>
      <c r="LO134" s="14"/>
      <c r="LP134" s="14"/>
      <c r="LQ134" s="14"/>
      <c r="LR134" s="14"/>
      <c r="LS134" s="14"/>
      <c r="LT134" s="14"/>
      <c r="LU134" s="14"/>
      <c r="LV134" s="14"/>
      <c r="LW134" s="14"/>
      <c r="LX134" s="14"/>
      <c r="LY134" s="14"/>
      <c r="LZ134" s="14"/>
      <c r="MA134" s="14"/>
      <c r="MB134" s="14"/>
      <c r="MC134" s="14"/>
      <c r="MD134" s="14"/>
      <c r="ME134" s="14"/>
      <c r="MF134" s="14"/>
      <c r="MG134" s="14"/>
      <c r="MH134" s="14"/>
      <c r="MI134" s="14"/>
      <c r="MJ134" s="14"/>
      <c r="MK134" s="14"/>
      <c r="ML134" s="14"/>
      <c r="MM134" s="14"/>
      <c r="MN134" s="14"/>
      <c r="MO134" s="14"/>
      <c r="MP134" s="14"/>
      <c r="MQ134" s="14"/>
      <c r="MR134" s="14"/>
      <c r="MS134" s="14"/>
      <c r="MT134" s="14"/>
      <c r="MU134" s="14"/>
      <c r="MV134" s="14"/>
      <c r="MW134" s="14"/>
      <c r="MX134" s="14"/>
      <c r="MY134" s="14"/>
      <c r="MZ134" s="14"/>
      <c r="NA134" s="14"/>
      <c r="NB134" s="14"/>
      <c r="NC134" s="14"/>
      <c r="ND134" s="14"/>
      <c r="NE134" s="14"/>
      <c r="NF134" s="14"/>
      <c r="NG134" s="14"/>
      <c r="NH134" s="14"/>
      <c r="NI134" s="14"/>
      <c r="NJ134" s="14"/>
      <c r="NK134" s="14"/>
      <c r="NL134" s="14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</row>
    <row r="135" ht="13.5" customHeight="1">
      <c r="A135" s="2"/>
      <c r="B135" s="22"/>
      <c r="C135" s="2"/>
      <c r="D135" s="13"/>
      <c r="E135" s="3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4"/>
      <c r="FJ135" s="14"/>
      <c r="FK135" s="14"/>
      <c r="FL135" s="14"/>
      <c r="FM135" s="14"/>
      <c r="FN135" s="14"/>
      <c r="FO135" s="14"/>
      <c r="FP135" s="14"/>
      <c r="FQ135" s="14"/>
      <c r="FR135" s="14"/>
      <c r="FS135" s="14"/>
      <c r="FT135" s="14"/>
      <c r="FU135" s="14"/>
      <c r="FV135" s="14"/>
      <c r="FW135" s="14"/>
      <c r="FX135" s="14"/>
      <c r="FY135" s="14"/>
      <c r="FZ135" s="14"/>
      <c r="GA135" s="14"/>
      <c r="GB135" s="14"/>
      <c r="GC135" s="14"/>
      <c r="GD135" s="14"/>
      <c r="GE135" s="14"/>
      <c r="GF135" s="14"/>
      <c r="GG135" s="14"/>
      <c r="GH135" s="14"/>
      <c r="GI135" s="14"/>
      <c r="GJ135" s="14"/>
      <c r="GK135" s="14"/>
      <c r="GL135" s="14"/>
      <c r="GM135" s="14"/>
      <c r="GN135" s="14"/>
      <c r="GO135" s="14"/>
      <c r="GP135" s="14"/>
      <c r="GQ135" s="14"/>
      <c r="GR135" s="14"/>
      <c r="GS135" s="14"/>
      <c r="GT135" s="14"/>
      <c r="GU135" s="14"/>
      <c r="GV135" s="14"/>
      <c r="GW135" s="14"/>
      <c r="GX135" s="14"/>
      <c r="GY135" s="14"/>
      <c r="GZ135" s="14"/>
      <c r="HA135" s="14"/>
      <c r="HB135" s="14"/>
      <c r="HC135" s="14"/>
      <c r="HD135" s="14"/>
      <c r="HE135" s="14"/>
      <c r="HF135" s="14"/>
      <c r="HG135" s="14"/>
      <c r="HH135" s="14"/>
      <c r="HI135" s="14"/>
      <c r="HJ135" s="14"/>
      <c r="HK135" s="14"/>
      <c r="HL135" s="14"/>
      <c r="HM135" s="14"/>
      <c r="HN135" s="14"/>
      <c r="HO135" s="14"/>
      <c r="HP135" s="14"/>
      <c r="HQ135" s="14"/>
      <c r="HR135" s="14"/>
      <c r="HS135" s="14"/>
      <c r="HT135" s="14"/>
      <c r="HU135" s="14"/>
      <c r="HV135" s="14"/>
      <c r="HW135" s="14"/>
      <c r="HX135" s="14"/>
      <c r="HY135" s="14"/>
      <c r="HZ135" s="14"/>
      <c r="IA135" s="14"/>
      <c r="IB135" s="14"/>
      <c r="IC135" s="14"/>
      <c r="ID135" s="14"/>
      <c r="IE135" s="14"/>
      <c r="IF135" s="14"/>
      <c r="IG135" s="14"/>
      <c r="IH135" s="14"/>
      <c r="II135" s="14"/>
      <c r="IJ135" s="14"/>
      <c r="IK135" s="14"/>
      <c r="IL135" s="14"/>
      <c r="IM135" s="14"/>
      <c r="IN135" s="14"/>
      <c r="IO135" s="14"/>
      <c r="IP135" s="14"/>
      <c r="IQ135" s="14"/>
      <c r="IR135" s="14"/>
      <c r="IS135" s="14"/>
      <c r="IT135" s="14"/>
      <c r="IU135" s="14"/>
      <c r="IV135" s="14"/>
      <c r="IW135" s="14"/>
      <c r="IX135" s="14"/>
      <c r="IY135" s="14"/>
      <c r="IZ135" s="14"/>
      <c r="JA135" s="14"/>
      <c r="JB135" s="14"/>
      <c r="JC135" s="14"/>
      <c r="JD135" s="14"/>
      <c r="JE135" s="14"/>
      <c r="JF135" s="14"/>
      <c r="JG135" s="14"/>
      <c r="JH135" s="14"/>
      <c r="JI135" s="14"/>
      <c r="JJ135" s="14"/>
      <c r="JK135" s="14"/>
      <c r="JL135" s="14"/>
      <c r="JM135" s="14"/>
      <c r="JN135" s="14"/>
      <c r="JO135" s="14"/>
      <c r="JP135" s="14"/>
      <c r="JQ135" s="14"/>
      <c r="JR135" s="14"/>
      <c r="JS135" s="14"/>
      <c r="JT135" s="14"/>
      <c r="JU135" s="14"/>
      <c r="JV135" s="14"/>
      <c r="JW135" s="14"/>
      <c r="JX135" s="14"/>
      <c r="JY135" s="14"/>
      <c r="JZ135" s="14"/>
      <c r="KA135" s="14"/>
      <c r="KB135" s="14"/>
      <c r="KC135" s="14"/>
      <c r="KD135" s="14"/>
      <c r="KE135" s="14"/>
      <c r="KF135" s="14"/>
      <c r="KG135" s="14"/>
      <c r="KH135" s="14"/>
      <c r="KI135" s="14"/>
      <c r="KJ135" s="14"/>
      <c r="KK135" s="14"/>
      <c r="KL135" s="14"/>
      <c r="KM135" s="14"/>
      <c r="KN135" s="14"/>
      <c r="KO135" s="14"/>
      <c r="KP135" s="14"/>
      <c r="KQ135" s="14"/>
      <c r="KR135" s="14"/>
      <c r="KS135" s="14"/>
      <c r="KT135" s="14"/>
      <c r="KU135" s="14"/>
      <c r="KV135" s="14"/>
      <c r="KW135" s="14"/>
      <c r="KX135" s="14"/>
      <c r="KY135" s="14"/>
      <c r="KZ135" s="14"/>
      <c r="LA135" s="14"/>
      <c r="LB135" s="14"/>
      <c r="LC135" s="14"/>
      <c r="LD135" s="14"/>
      <c r="LE135" s="14"/>
      <c r="LF135" s="14"/>
      <c r="LG135" s="14"/>
      <c r="LH135" s="14"/>
      <c r="LI135" s="14"/>
      <c r="LJ135" s="14"/>
      <c r="LK135" s="14"/>
      <c r="LL135" s="14"/>
      <c r="LM135" s="14"/>
      <c r="LN135" s="14"/>
      <c r="LO135" s="14"/>
      <c r="LP135" s="14"/>
      <c r="LQ135" s="14"/>
      <c r="LR135" s="14"/>
      <c r="LS135" s="14"/>
      <c r="LT135" s="14"/>
      <c r="LU135" s="14"/>
      <c r="LV135" s="14"/>
      <c r="LW135" s="14"/>
      <c r="LX135" s="14"/>
      <c r="LY135" s="14"/>
      <c r="LZ135" s="14"/>
      <c r="MA135" s="14"/>
      <c r="MB135" s="14"/>
      <c r="MC135" s="14"/>
      <c r="MD135" s="14"/>
      <c r="ME135" s="14"/>
      <c r="MF135" s="14"/>
      <c r="MG135" s="14"/>
      <c r="MH135" s="14"/>
      <c r="MI135" s="14"/>
      <c r="MJ135" s="14"/>
      <c r="MK135" s="14"/>
      <c r="ML135" s="14"/>
      <c r="MM135" s="14"/>
      <c r="MN135" s="14"/>
      <c r="MO135" s="14"/>
      <c r="MP135" s="14"/>
      <c r="MQ135" s="14"/>
      <c r="MR135" s="14"/>
      <c r="MS135" s="14"/>
      <c r="MT135" s="14"/>
      <c r="MU135" s="14"/>
      <c r="MV135" s="14"/>
      <c r="MW135" s="14"/>
      <c r="MX135" s="14"/>
      <c r="MY135" s="14"/>
      <c r="MZ135" s="14"/>
      <c r="NA135" s="14"/>
      <c r="NB135" s="14"/>
      <c r="NC135" s="14"/>
      <c r="ND135" s="14"/>
      <c r="NE135" s="14"/>
      <c r="NF135" s="14"/>
      <c r="NG135" s="14"/>
      <c r="NH135" s="14"/>
      <c r="NI135" s="14"/>
      <c r="NJ135" s="14"/>
      <c r="NK135" s="14"/>
      <c r="NL135" s="14"/>
      <c r="NM135" s="3"/>
      <c r="NN135" s="3"/>
      <c r="NO135" s="3"/>
      <c r="NP135" s="3"/>
      <c r="NQ135" s="3"/>
      <c r="NR135" s="3"/>
      <c r="NS135" s="3"/>
      <c r="NT135" s="3"/>
      <c r="NU135" s="3"/>
      <c r="NV135" s="3"/>
      <c r="NW135" s="3"/>
      <c r="NX135" s="3"/>
      <c r="NY135" s="3"/>
      <c r="NZ135" s="3"/>
      <c r="OA135" s="3"/>
      <c r="OB135" s="3"/>
      <c r="OC135" s="3"/>
      <c r="OD135" s="3"/>
      <c r="OE135" s="3"/>
      <c r="OF135" s="3"/>
    </row>
    <row r="136" ht="13.5" customHeight="1">
      <c r="A136" s="2"/>
      <c r="B136" s="22"/>
      <c r="C136" s="2"/>
      <c r="D136" s="13"/>
      <c r="E136" s="3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4"/>
      <c r="FK136" s="14"/>
      <c r="FL136" s="14"/>
      <c r="FM136" s="14"/>
      <c r="FN136" s="14"/>
      <c r="FO136" s="14"/>
      <c r="FP136" s="14"/>
      <c r="FQ136" s="14"/>
      <c r="FR136" s="14"/>
      <c r="FS136" s="14"/>
      <c r="FT136" s="14"/>
      <c r="FU136" s="14"/>
      <c r="FV136" s="14"/>
      <c r="FW136" s="14"/>
      <c r="FX136" s="14"/>
      <c r="FY136" s="14"/>
      <c r="FZ136" s="14"/>
      <c r="GA136" s="14"/>
      <c r="GB136" s="14"/>
      <c r="GC136" s="14"/>
      <c r="GD136" s="14"/>
      <c r="GE136" s="14"/>
      <c r="GF136" s="14"/>
      <c r="GG136" s="14"/>
      <c r="GH136" s="14"/>
      <c r="GI136" s="14"/>
      <c r="GJ136" s="14"/>
      <c r="GK136" s="14"/>
      <c r="GL136" s="14"/>
      <c r="GM136" s="14"/>
      <c r="GN136" s="14"/>
      <c r="GO136" s="14"/>
      <c r="GP136" s="14"/>
      <c r="GQ136" s="14"/>
      <c r="GR136" s="14"/>
      <c r="GS136" s="14"/>
      <c r="GT136" s="14"/>
      <c r="GU136" s="14"/>
      <c r="GV136" s="14"/>
      <c r="GW136" s="14"/>
      <c r="GX136" s="14"/>
      <c r="GY136" s="14"/>
      <c r="GZ136" s="14"/>
      <c r="HA136" s="14"/>
      <c r="HB136" s="14"/>
      <c r="HC136" s="14"/>
      <c r="HD136" s="14"/>
      <c r="HE136" s="14"/>
      <c r="HF136" s="14"/>
      <c r="HG136" s="14"/>
      <c r="HH136" s="14"/>
      <c r="HI136" s="14"/>
      <c r="HJ136" s="14"/>
      <c r="HK136" s="14"/>
      <c r="HL136" s="14"/>
      <c r="HM136" s="14"/>
      <c r="HN136" s="14"/>
      <c r="HO136" s="14"/>
      <c r="HP136" s="14"/>
      <c r="HQ136" s="14"/>
      <c r="HR136" s="14"/>
      <c r="HS136" s="14"/>
      <c r="HT136" s="14"/>
      <c r="HU136" s="14"/>
      <c r="HV136" s="14"/>
      <c r="HW136" s="14"/>
      <c r="HX136" s="14"/>
      <c r="HY136" s="14"/>
      <c r="HZ136" s="14"/>
      <c r="IA136" s="14"/>
      <c r="IB136" s="14"/>
      <c r="IC136" s="14"/>
      <c r="ID136" s="14"/>
      <c r="IE136" s="14"/>
      <c r="IF136" s="14"/>
      <c r="IG136" s="14"/>
      <c r="IH136" s="14"/>
      <c r="II136" s="14"/>
      <c r="IJ136" s="14"/>
      <c r="IK136" s="14"/>
      <c r="IL136" s="14"/>
      <c r="IM136" s="14"/>
      <c r="IN136" s="14"/>
      <c r="IO136" s="14"/>
      <c r="IP136" s="14"/>
      <c r="IQ136" s="14"/>
      <c r="IR136" s="14"/>
      <c r="IS136" s="14"/>
      <c r="IT136" s="14"/>
      <c r="IU136" s="14"/>
      <c r="IV136" s="14"/>
      <c r="IW136" s="14"/>
      <c r="IX136" s="14"/>
      <c r="IY136" s="14"/>
      <c r="IZ136" s="14"/>
      <c r="JA136" s="14"/>
      <c r="JB136" s="14"/>
      <c r="JC136" s="14"/>
      <c r="JD136" s="14"/>
      <c r="JE136" s="14"/>
      <c r="JF136" s="14"/>
      <c r="JG136" s="14"/>
      <c r="JH136" s="14"/>
      <c r="JI136" s="14"/>
      <c r="JJ136" s="14"/>
      <c r="JK136" s="14"/>
      <c r="JL136" s="14"/>
      <c r="JM136" s="14"/>
      <c r="JN136" s="14"/>
      <c r="JO136" s="14"/>
      <c r="JP136" s="14"/>
      <c r="JQ136" s="14"/>
      <c r="JR136" s="14"/>
      <c r="JS136" s="14"/>
      <c r="JT136" s="14"/>
      <c r="JU136" s="14"/>
      <c r="JV136" s="14"/>
      <c r="JW136" s="14"/>
      <c r="JX136" s="14"/>
      <c r="JY136" s="14"/>
      <c r="JZ136" s="14"/>
      <c r="KA136" s="14"/>
      <c r="KB136" s="14"/>
      <c r="KC136" s="14"/>
      <c r="KD136" s="14"/>
      <c r="KE136" s="14"/>
      <c r="KF136" s="14"/>
      <c r="KG136" s="14"/>
      <c r="KH136" s="14"/>
      <c r="KI136" s="14"/>
      <c r="KJ136" s="14"/>
      <c r="KK136" s="14"/>
      <c r="KL136" s="14"/>
      <c r="KM136" s="14"/>
      <c r="KN136" s="14"/>
      <c r="KO136" s="14"/>
      <c r="KP136" s="14"/>
      <c r="KQ136" s="14"/>
      <c r="KR136" s="14"/>
      <c r="KS136" s="14"/>
      <c r="KT136" s="14"/>
      <c r="KU136" s="14"/>
      <c r="KV136" s="14"/>
      <c r="KW136" s="14"/>
      <c r="KX136" s="14"/>
      <c r="KY136" s="14"/>
      <c r="KZ136" s="14"/>
      <c r="LA136" s="14"/>
      <c r="LB136" s="14"/>
      <c r="LC136" s="14"/>
      <c r="LD136" s="14"/>
      <c r="LE136" s="14"/>
      <c r="LF136" s="14"/>
      <c r="LG136" s="14"/>
      <c r="LH136" s="14"/>
      <c r="LI136" s="14"/>
      <c r="LJ136" s="14"/>
      <c r="LK136" s="14"/>
      <c r="LL136" s="14"/>
      <c r="LM136" s="14"/>
      <c r="LN136" s="14"/>
      <c r="LO136" s="14"/>
      <c r="LP136" s="14"/>
      <c r="LQ136" s="14"/>
      <c r="LR136" s="14"/>
      <c r="LS136" s="14"/>
      <c r="LT136" s="14"/>
      <c r="LU136" s="14"/>
      <c r="LV136" s="14"/>
      <c r="LW136" s="14"/>
      <c r="LX136" s="14"/>
      <c r="LY136" s="14"/>
      <c r="LZ136" s="14"/>
      <c r="MA136" s="14"/>
      <c r="MB136" s="14"/>
      <c r="MC136" s="14"/>
      <c r="MD136" s="14"/>
      <c r="ME136" s="14"/>
      <c r="MF136" s="14"/>
      <c r="MG136" s="14"/>
      <c r="MH136" s="14"/>
      <c r="MI136" s="14"/>
      <c r="MJ136" s="14"/>
      <c r="MK136" s="14"/>
      <c r="ML136" s="14"/>
      <c r="MM136" s="14"/>
      <c r="MN136" s="14"/>
      <c r="MO136" s="14"/>
      <c r="MP136" s="14"/>
      <c r="MQ136" s="14"/>
      <c r="MR136" s="14"/>
      <c r="MS136" s="14"/>
      <c r="MT136" s="14"/>
      <c r="MU136" s="14"/>
      <c r="MV136" s="14"/>
      <c r="MW136" s="14"/>
      <c r="MX136" s="14"/>
      <c r="MY136" s="14"/>
      <c r="MZ136" s="14"/>
      <c r="NA136" s="14"/>
      <c r="NB136" s="14"/>
      <c r="NC136" s="14"/>
      <c r="ND136" s="14"/>
      <c r="NE136" s="14"/>
      <c r="NF136" s="14"/>
      <c r="NG136" s="14"/>
      <c r="NH136" s="14"/>
      <c r="NI136" s="14"/>
      <c r="NJ136" s="14"/>
      <c r="NK136" s="14"/>
      <c r="NL136" s="14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</row>
    <row r="137" ht="13.5" customHeight="1">
      <c r="A137" s="2"/>
      <c r="B137" s="22"/>
      <c r="C137" s="2"/>
      <c r="D137" s="13"/>
      <c r="E137" s="3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4"/>
      <c r="FJ137" s="14"/>
      <c r="FK137" s="14"/>
      <c r="FL137" s="14"/>
      <c r="FM137" s="14"/>
      <c r="FN137" s="14"/>
      <c r="FO137" s="14"/>
      <c r="FP137" s="14"/>
      <c r="FQ137" s="14"/>
      <c r="FR137" s="14"/>
      <c r="FS137" s="14"/>
      <c r="FT137" s="14"/>
      <c r="FU137" s="14"/>
      <c r="FV137" s="14"/>
      <c r="FW137" s="14"/>
      <c r="FX137" s="14"/>
      <c r="FY137" s="14"/>
      <c r="FZ137" s="14"/>
      <c r="GA137" s="14"/>
      <c r="GB137" s="14"/>
      <c r="GC137" s="14"/>
      <c r="GD137" s="14"/>
      <c r="GE137" s="14"/>
      <c r="GF137" s="14"/>
      <c r="GG137" s="14"/>
      <c r="GH137" s="14"/>
      <c r="GI137" s="14"/>
      <c r="GJ137" s="14"/>
      <c r="GK137" s="14"/>
      <c r="GL137" s="14"/>
      <c r="GM137" s="14"/>
      <c r="GN137" s="14"/>
      <c r="GO137" s="14"/>
      <c r="GP137" s="14"/>
      <c r="GQ137" s="14"/>
      <c r="GR137" s="14"/>
      <c r="GS137" s="14"/>
      <c r="GT137" s="14"/>
      <c r="GU137" s="14"/>
      <c r="GV137" s="14"/>
      <c r="GW137" s="14"/>
      <c r="GX137" s="14"/>
      <c r="GY137" s="14"/>
      <c r="GZ137" s="14"/>
      <c r="HA137" s="14"/>
      <c r="HB137" s="14"/>
      <c r="HC137" s="14"/>
      <c r="HD137" s="14"/>
      <c r="HE137" s="14"/>
      <c r="HF137" s="14"/>
      <c r="HG137" s="14"/>
      <c r="HH137" s="14"/>
      <c r="HI137" s="14"/>
      <c r="HJ137" s="14"/>
      <c r="HK137" s="14"/>
      <c r="HL137" s="14"/>
      <c r="HM137" s="14"/>
      <c r="HN137" s="14"/>
      <c r="HO137" s="14"/>
      <c r="HP137" s="14"/>
      <c r="HQ137" s="14"/>
      <c r="HR137" s="14"/>
      <c r="HS137" s="14"/>
      <c r="HT137" s="14"/>
      <c r="HU137" s="14"/>
      <c r="HV137" s="14"/>
      <c r="HW137" s="14"/>
      <c r="HX137" s="14"/>
      <c r="HY137" s="14"/>
      <c r="HZ137" s="14"/>
      <c r="IA137" s="14"/>
      <c r="IB137" s="14"/>
      <c r="IC137" s="14"/>
      <c r="ID137" s="14"/>
      <c r="IE137" s="14"/>
      <c r="IF137" s="14"/>
      <c r="IG137" s="14"/>
      <c r="IH137" s="14"/>
      <c r="II137" s="14"/>
      <c r="IJ137" s="14"/>
      <c r="IK137" s="14"/>
      <c r="IL137" s="14"/>
      <c r="IM137" s="14"/>
      <c r="IN137" s="14"/>
      <c r="IO137" s="14"/>
      <c r="IP137" s="14"/>
      <c r="IQ137" s="14"/>
      <c r="IR137" s="14"/>
      <c r="IS137" s="14"/>
      <c r="IT137" s="14"/>
      <c r="IU137" s="14"/>
      <c r="IV137" s="14"/>
      <c r="IW137" s="14"/>
      <c r="IX137" s="14"/>
      <c r="IY137" s="14"/>
      <c r="IZ137" s="14"/>
      <c r="JA137" s="14"/>
      <c r="JB137" s="14"/>
      <c r="JC137" s="14"/>
      <c r="JD137" s="14"/>
      <c r="JE137" s="14"/>
      <c r="JF137" s="14"/>
      <c r="JG137" s="14"/>
      <c r="JH137" s="14"/>
      <c r="JI137" s="14"/>
      <c r="JJ137" s="14"/>
      <c r="JK137" s="14"/>
      <c r="JL137" s="14"/>
      <c r="JM137" s="14"/>
      <c r="JN137" s="14"/>
      <c r="JO137" s="14"/>
      <c r="JP137" s="14"/>
      <c r="JQ137" s="14"/>
      <c r="JR137" s="14"/>
      <c r="JS137" s="14"/>
      <c r="JT137" s="14"/>
      <c r="JU137" s="14"/>
      <c r="JV137" s="14"/>
      <c r="JW137" s="14"/>
      <c r="JX137" s="14"/>
      <c r="JY137" s="14"/>
      <c r="JZ137" s="14"/>
      <c r="KA137" s="14"/>
      <c r="KB137" s="14"/>
      <c r="KC137" s="14"/>
      <c r="KD137" s="14"/>
      <c r="KE137" s="14"/>
      <c r="KF137" s="14"/>
      <c r="KG137" s="14"/>
      <c r="KH137" s="14"/>
      <c r="KI137" s="14"/>
      <c r="KJ137" s="14"/>
      <c r="KK137" s="14"/>
      <c r="KL137" s="14"/>
      <c r="KM137" s="14"/>
      <c r="KN137" s="14"/>
      <c r="KO137" s="14"/>
      <c r="KP137" s="14"/>
      <c r="KQ137" s="14"/>
      <c r="KR137" s="14"/>
      <c r="KS137" s="14"/>
      <c r="KT137" s="14"/>
      <c r="KU137" s="14"/>
      <c r="KV137" s="14"/>
      <c r="KW137" s="14"/>
      <c r="KX137" s="14"/>
      <c r="KY137" s="14"/>
      <c r="KZ137" s="14"/>
      <c r="LA137" s="14"/>
      <c r="LB137" s="14"/>
      <c r="LC137" s="14"/>
      <c r="LD137" s="14"/>
      <c r="LE137" s="14"/>
      <c r="LF137" s="14"/>
      <c r="LG137" s="14"/>
      <c r="LH137" s="14"/>
      <c r="LI137" s="14"/>
      <c r="LJ137" s="14"/>
      <c r="LK137" s="14"/>
      <c r="LL137" s="14"/>
      <c r="LM137" s="14"/>
      <c r="LN137" s="14"/>
      <c r="LO137" s="14"/>
      <c r="LP137" s="14"/>
      <c r="LQ137" s="14"/>
      <c r="LR137" s="14"/>
      <c r="LS137" s="14"/>
      <c r="LT137" s="14"/>
      <c r="LU137" s="14"/>
      <c r="LV137" s="14"/>
      <c r="LW137" s="14"/>
      <c r="LX137" s="14"/>
      <c r="LY137" s="14"/>
      <c r="LZ137" s="14"/>
      <c r="MA137" s="14"/>
      <c r="MB137" s="14"/>
      <c r="MC137" s="14"/>
      <c r="MD137" s="14"/>
      <c r="ME137" s="14"/>
      <c r="MF137" s="14"/>
      <c r="MG137" s="14"/>
      <c r="MH137" s="14"/>
      <c r="MI137" s="14"/>
      <c r="MJ137" s="14"/>
      <c r="MK137" s="14"/>
      <c r="ML137" s="14"/>
      <c r="MM137" s="14"/>
      <c r="MN137" s="14"/>
      <c r="MO137" s="14"/>
      <c r="MP137" s="14"/>
      <c r="MQ137" s="14"/>
      <c r="MR137" s="14"/>
      <c r="MS137" s="14"/>
      <c r="MT137" s="14"/>
      <c r="MU137" s="14"/>
      <c r="MV137" s="14"/>
      <c r="MW137" s="14"/>
      <c r="MX137" s="14"/>
      <c r="MY137" s="14"/>
      <c r="MZ137" s="14"/>
      <c r="NA137" s="14"/>
      <c r="NB137" s="14"/>
      <c r="NC137" s="14"/>
      <c r="ND137" s="14"/>
      <c r="NE137" s="14"/>
      <c r="NF137" s="14"/>
      <c r="NG137" s="14"/>
      <c r="NH137" s="14"/>
      <c r="NI137" s="14"/>
      <c r="NJ137" s="14"/>
      <c r="NK137" s="14"/>
      <c r="NL137" s="14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</row>
    <row r="138" ht="13.5" customHeight="1">
      <c r="A138" s="2"/>
      <c r="B138" s="22"/>
      <c r="C138" s="2"/>
      <c r="D138" s="13"/>
      <c r="E138" s="3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4"/>
      <c r="FJ138" s="14"/>
      <c r="FK138" s="14"/>
      <c r="FL138" s="14"/>
      <c r="FM138" s="14"/>
      <c r="FN138" s="14"/>
      <c r="FO138" s="14"/>
      <c r="FP138" s="14"/>
      <c r="FQ138" s="14"/>
      <c r="FR138" s="14"/>
      <c r="FS138" s="14"/>
      <c r="FT138" s="14"/>
      <c r="FU138" s="14"/>
      <c r="FV138" s="14"/>
      <c r="FW138" s="14"/>
      <c r="FX138" s="14"/>
      <c r="FY138" s="14"/>
      <c r="FZ138" s="14"/>
      <c r="GA138" s="14"/>
      <c r="GB138" s="14"/>
      <c r="GC138" s="14"/>
      <c r="GD138" s="14"/>
      <c r="GE138" s="14"/>
      <c r="GF138" s="14"/>
      <c r="GG138" s="14"/>
      <c r="GH138" s="14"/>
      <c r="GI138" s="14"/>
      <c r="GJ138" s="14"/>
      <c r="GK138" s="14"/>
      <c r="GL138" s="14"/>
      <c r="GM138" s="14"/>
      <c r="GN138" s="14"/>
      <c r="GO138" s="14"/>
      <c r="GP138" s="14"/>
      <c r="GQ138" s="14"/>
      <c r="GR138" s="14"/>
      <c r="GS138" s="14"/>
      <c r="GT138" s="14"/>
      <c r="GU138" s="14"/>
      <c r="GV138" s="14"/>
      <c r="GW138" s="14"/>
      <c r="GX138" s="14"/>
      <c r="GY138" s="14"/>
      <c r="GZ138" s="14"/>
      <c r="HA138" s="14"/>
      <c r="HB138" s="14"/>
      <c r="HC138" s="14"/>
      <c r="HD138" s="14"/>
      <c r="HE138" s="14"/>
      <c r="HF138" s="14"/>
      <c r="HG138" s="14"/>
      <c r="HH138" s="14"/>
      <c r="HI138" s="14"/>
      <c r="HJ138" s="14"/>
      <c r="HK138" s="14"/>
      <c r="HL138" s="14"/>
      <c r="HM138" s="14"/>
      <c r="HN138" s="14"/>
      <c r="HO138" s="14"/>
      <c r="HP138" s="14"/>
      <c r="HQ138" s="14"/>
      <c r="HR138" s="14"/>
      <c r="HS138" s="14"/>
      <c r="HT138" s="14"/>
      <c r="HU138" s="14"/>
      <c r="HV138" s="14"/>
      <c r="HW138" s="14"/>
      <c r="HX138" s="14"/>
      <c r="HY138" s="14"/>
      <c r="HZ138" s="14"/>
      <c r="IA138" s="14"/>
      <c r="IB138" s="14"/>
      <c r="IC138" s="14"/>
      <c r="ID138" s="14"/>
      <c r="IE138" s="14"/>
      <c r="IF138" s="14"/>
      <c r="IG138" s="14"/>
      <c r="IH138" s="14"/>
      <c r="II138" s="14"/>
      <c r="IJ138" s="14"/>
      <c r="IK138" s="14"/>
      <c r="IL138" s="14"/>
      <c r="IM138" s="14"/>
      <c r="IN138" s="14"/>
      <c r="IO138" s="14"/>
      <c r="IP138" s="14"/>
      <c r="IQ138" s="14"/>
      <c r="IR138" s="14"/>
      <c r="IS138" s="14"/>
      <c r="IT138" s="14"/>
      <c r="IU138" s="14"/>
      <c r="IV138" s="14"/>
      <c r="IW138" s="14"/>
      <c r="IX138" s="14"/>
      <c r="IY138" s="14"/>
      <c r="IZ138" s="14"/>
      <c r="JA138" s="14"/>
      <c r="JB138" s="14"/>
      <c r="JC138" s="14"/>
      <c r="JD138" s="14"/>
      <c r="JE138" s="14"/>
      <c r="JF138" s="14"/>
      <c r="JG138" s="14"/>
      <c r="JH138" s="14"/>
      <c r="JI138" s="14"/>
      <c r="JJ138" s="14"/>
      <c r="JK138" s="14"/>
      <c r="JL138" s="14"/>
      <c r="JM138" s="14"/>
      <c r="JN138" s="14"/>
      <c r="JO138" s="14"/>
      <c r="JP138" s="14"/>
      <c r="JQ138" s="14"/>
      <c r="JR138" s="14"/>
      <c r="JS138" s="14"/>
      <c r="JT138" s="14"/>
      <c r="JU138" s="14"/>
      <c r="JV138" s="14"/>
      <c r="JW138" s="14"/>
      <c r="JX138" s="14"/>
      <c r="JY138" s="14"/>
      <c r="JZ138" s="14"/>
      <c r="KA138" s="14"/>
      <c r="KB138" s="14"/>
      <c r="KC138" s="14"/>
      <c r="KD138" s="14"/>
      <c r="KE138" s="14"/>
      <c r="KF138" s="14"/>
      <c r="KG138" s="14"/>
      <c r="KH138" s="14"/>
      <c r="KI138" s="14"/>
      <c r="KJ138" s="14"/>
      <c r="KK138" s="14"/>
      <c r="KL138" s="14"/>
      <c r="KM138" s="14"/>
      <c r="KN138" s="14"/>
      <c r="KO138" s="14"/>
      <c r="KP138" s="14"/>
      <c r="KQ138" s="14"/>
      <c r="KR138" s="14"/>
      <c r="KS138" s="14"/>
      <c r="KT138" s="14"/>
      <c r="KU138" s="14"/>
      <c r="KV138" s="14"/>
      <c r="KW138" s="14"/>
      <c r="KX138" s="14"/>
      <c r="KY138" s="14"/>
      <c r="KZ138" s="14"/>
      <c r="LA138" s="14"/>
      <c r="LB138" s="14"/>
      <c r="LC138" s="14"/>
      <c r="LD138" s="14"/>
      <c r="LE138" s="14"/>
      <c r="LF138" s="14"/>
      <c r="LG138" s="14"/>
      <c r="LH138" s="14"/>
      <c r="LI138" s="14"/>
      <c r="LJ138" s="14"/>
      <c r="LK138" s="14"/>
      <c r="LL138" s="14"/>
      <c r="LM138" s="14"/>
      <c r="LN138" s="14"/>
      <c r="LO138" s="14"/>
      <c r="LP138" s="14"/>
      <c r="LQ138" s="14"/>
      <c r="LR138" s="14"/>
      <c r="LS138" s="14"/>
      <c r="LT138" s="14"/>
      <c r="LU138" s="14"/>
      <c r="LV138" s="14"/>
      <c r="LW138" s="14"/>
      <c r="LX138" s="14"/>
      <c r="LY138" s="14"/>
      <c r="LZ138" s="14"/>
      <c r="MA138" s="14"/>
      <c r="MB138" s="14"/>
      <c r="MC138" s="14"/>
      <c r="MD138" s="14"/>
      <c r="ME138" s="14"/>
      <c r="MF138" s="14"/>
      <c r="MG138" s="14"/>
      <c r="MH138" s="14"/>
      <c r="MI138" s="14"/>
      <c r="MJ138" s="14"/>
      <c r="MK138" s="14"/>
      <c r="ML138" s="14"/>
      <c r="MM138" s="14"/>
      <c r="MN138" s="14"/>
      <c r="MO138" s="14"/>
      <c r="MP138" s="14"/>
      <c r="MQ138" s="14"/>
      <c r="MR138" s="14"/>
      <c r="MS138" s="14"/>
      <c r="MT138" s="14"/>
      <c r="MU138" s="14"/>
      <c r="MV138" s="14"/>
      <c r="MW138" s="14"/>
      <c r="MX138" s="14"/>
      <c r="MY138" s="14"/>
      <c r="MZ138" s="14"/>
      <c r="NA138" s="14"/>
      <c r="NB138" s="14"/>
      <c r="NC138" s="14"/>
      <c r="ND138" s="14"/>
      <c r="NE138" s="14"/>
      <c r="NF138" s="14"/>
      <c r="NG138" s="14"/>
      <c r="NH138" s="14"/>
      <c r="NI138" s="14"/>
      <c r="NJ138" s="14"/>
      <c r="NK138" s="14"/>
      <c r="NL138" s="14"/>
      <c r="NM138" s="3"/>
      <c r="NN138" s="3"/>
      <c r="NO138" s="3"/>
      <c r="NP138" s="3"/>
      <c r="NQ138" s="3"/>
      <c r="NR138" s="3"/>
      <c r="NS138" s="3"/>
      <c r="NT138" s="3"/>
      <c r="NU138" s="3"/>
      <c r="NV138" s="3"/>
      <c r="NW138" s="3"/>
      <c r="NX138" s="3"/>
      <c r="NY138" s="3"/>
      <c r="NZ138" s="3"/>
      <c r="OA138" s="3"/>
      <c r="OB138" s="3"/>
      <c r="OC138" s="3"/>
      <c r="OD138" s="3"/>
      <c r="OE138" s="3"/>
      <c r="OF138" s="3"/>
    </row>
    <row r="139" ht="13.5" customHeight="1">
      <c r="A139" s="2"/>
      <c r="B139" s="22"/>
      <c r="C139" s="2"/>
      <c r="D139" s="13"/>
      <c r="E139" s="3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4"/>
      <c r="FJ139" s="14"/>
      <c r="FK139" s="14"/>
      <c r="FL139" s="14"/>
      <c r="FM139" s="14"/>
      <c r="FN139" s="14"/>
      <c r="FO139" s="14"/>
      <c r="FP139" s="14"/>
      <c r="FQ139" s="14"/>
      <c r="FR139" s="14"/>
      <c r="FS139" s="14"/>
      <c r="FT139" s="14"/>
      <c r="FU139" s="14"/>
      <c r="FV139" s="14"/>
      <c r="FW139" s="14"/>
      <c r="FX139" s="14"/>
      <c r="FY139" s="14"/>
      <c r="FZ139" s="14"/>
      <c r="GA139" s="14"/>
      <c r="GB139" s="14"/>
      <c r="GC139" s="14"/>
      <c r="GD139" s="14"/>
      <c r="GE139" s="14"/>
      <c r="GF139" s="14"/>
      <c r="GG139" s="14"/>
      <c r="GH139" s="14"/>
      <c r="GI139" s="14"/>
      <c r="GJ139" s="14"/>
      <c r="GK139" s="14"/>
      <c r="GL139" s="14"/>
      <c r="GM139" s="14"/>
      <c r="GN139" s="14"/>
      <c r="GO139" s="14"/>
      <c r="GP139" s="14"/>
      <c r="GQ139" s="14"/>
      <c r="GR139" s="14"/>
      <c r="GS139" s="14"/>
      <c r="GT139" s="14"/>
      <c r="GU139" s="14"/>
      <c r="GV139" s="14"/>
      <c r="GW139" s="14"/>
      <c r="GX139" s="14"/>
      <c r="GY139" s="14"/>
      <c r="GZ139" s="14"/>
      <c r="HA139" s="14"/>
      <c r="HB139" s="14"/>
      <c r="HC139" s="14"/>
      <c r="HD139" s="14"/>
      <c r="HE139" s="14"/>
      <c r="HF139" s="14"/>
      <c r="HG139" s="14"/>
      <c r="HH139" s="14"/>
      <c r="HI139" s="14"/>
      <c r="HJ139" s="14"/>
      <c r="HK139" s="14"/>
      <c r="HL139" s="14"/>
      <c r="HM139" s="14"/>
      <c r="HN139" s="14"/>
      <c r="HO139" s="14"/>
      <c r="HP139" s="14"/>
      <c r="HQ139" s="14"/>
      <c r="HR139" s="14"/>
      <c r="HS139" s="14"/>
      <c r="HT139" s="14"/>
      <c r="HU139" s="14"/>
      <c r="HV139" s="14"/>
      <c r="HW139" s="14"/>
      <c r="HX139" s="14"/>
      <c r="HY139" s="14"/>
      <c r="HZ139" s="14"/>
      <c r="IA139" s="14"/>
      <c r="IB139" s="14"/>
      <c r="IC139" s="14"/>
      <c r="ID139" s="14"/>
      <c r="IE139" s="14"/>
      <c r="IF139" s="14"/>
      <c r="IG139" s="14"/>
      <c r="IH139" s="14"/>
      <c r="II139" s="14"/>
      <c r="IJ139" s="14"/>
      <c r="IK139" s="14"/>
      <c r="IL139" s="14"/>
      <c r="IM139" s="14"/>
      <c r="IN139" s="14"/>
      <c r="IO139" s="14"/>
      <c r="IP139" s="14"/>
      <c r="IQ139" s="14"/>
      <c r="IR139" s="14"/>
      <c r="IS139" s="14"/>
      <c r="IT139" s="14"/>
      <c r="IU139" s="14"/>
      <c r="IV139" s="14"/>
      <c r="IW139" s="14"/>
      <c r="IX139" s="14"/>
      <c r="IY139" s="14"/>
      <c r="IZ139" s="14"/>
      <c r="JA139" s="14"/>
      <c r="JB139" s="14"/>
      <c r="JC139" s="14"/>
      <c r="JD139" s="14"/>
      <c r="JE139" s="14"/>
      <c r="JF139" s="14"/>
      <c r="JG139" s="14"/>
      <c r="JH139" s="14"/>
      <c r="JI139" s="14"/>
      <c r="JJ139" s="14"/>
      <c r="JK139" s="14"/>
      <c r="JL139" s="14"/>
      <c r="JM139" s="14"/>
      <c r="JN139" s="14"/>
      <c r="JO139" s="14"/>
      <c r="JP139" s="14"/>
      <c r="JQ139" s="14"/>
      <c r="JR139" s="14"/>
      <c r="JS139" s="14"/>
      <c r="JT139" s="14"/>
      <c r="JU139" s="14"/>
      <c r="JV139" s="14"/>
      <c r="JW139" s="14"/>
      <c r="JX139" s="14"/>
      <c r="JY139" s="14"/>
      <c r="JZ139" s="14"/>
      <c r="KA139" s="14"/>
      <c r="KB139" s="14"/>
      <c r="KC139" s="14"/>
      <c r="KD139" s="14"/>
      <c r="KE139" s="14"/>
      <c r="KF139" s="14"/>
      <c r="KG139" s="14"/>
      <c r="KH139" s="14"/>
      <c r="KI139" s="14"/>
      <c r="KJ139" s="14"/>
      <c r="KK139" s="14"/>
      <c r="KL139" s="14"/>
      <c r="KM139" s="14"/>
      <c r="KN139" s="14"/>
      <c r="KO139" s="14"/>
      <c r="KP139" s="14"/>
      <c r="KQ139" s="14"/>
      <c r="KR139" s="14"/>
      <c r="KS139" s="14"/>
      <c r="KT139" s="14"/>
      <c r="KU139" s="14"/>
      <c r="KV139" s="14"/>
      <c r="KW139" s="14"/>
      <c r="KX139" s="14"/>
      <c r="KY139" s="14"/>
      <c r="KZ139" s="14"/>
      <c r="LA139" s="14"/>
      <c r="LB139" s="14"/>
      <c r="LC139" s="14"/>
      <c r="LD139" s="14"/>
      <c r="LE139" s="14"/>
      <c r="LF139" s="14"/>
      <c r="LG139" s="14"/>
      <c r="LH139" s="14"/>
      <c r="LI139" s="14"/>
      <c r="LJ139" s="14"/>
      <c r="LK139" s="14"/>
      <c r="LL139" s="14"/>
      <c r="LM139" s="14"/>
      <c r="LN139" s="14"/>
      <c r="LO139" s="14"/>
      <c r="LP139" s="14"/>
      <c r="LQ139" s="14"/>
      <c r="LR139" s="14"/>
      <c r="LS139" s="14"/>
      <c r="LT139" s="14"/>
      <c r="LU139" s="14"/>
      <c r="LV139" s="14"/>
      <c r="LW139" s="14"/>
      <c r="LX139" s="14"/>
      <c r="LY139" s="14"/>
      <c r="LZ139" s="14"/>
      <c r="MA139" s="14"/>
      <c r="MB139" s="14"/>
      <c r="MC139" s="14"/>
      <c r="MD139" s="14"/>
      <c r="ME139" s="14"/>
      <c r="MF139" s="14"/>
      <c r="MG139" s="14"/>
      <c r="MH139" s="14"/>
      <c r="MI139" s="14"/>
      <c r="MJ139" s="14"/>
      <c r="MK139" s="14"/>
      <c r="ML139" s="14"/>
      <c r="MM139" s="14"/>
      <c r="MN139" s="14"/>
      <c r="MO139" s="14"/>
      <c r="MP139" s="14"/>
      <c r="MQ139" s="14"/>
      <c r="MR139" s="14"/>
      <c r="MS139" s="14"/>
      <c r="MT139" s="14"/>
      <c r="MU139" s="14"/>
      <c r="MV139" s="14"/>
      <c r="MW139" s="14"/>
      <c r="MX139" s="14"/>
      <c r="MY139" s="14"/>
      <c r="MZ139" s="14"/>
      <c r="NA139" s="14"/>
      <c r="NB139" s="14"/>
      <c r="NC139" s="14"/>
      <c r="ND139" s="14"/>
      <c r="NE139" s="14"/>
      <c r="NF139" s="14"/>
      <c r="NG139" s="14"/>
      <c r="NH139" s="14"/>
      <c r="NI139" s="14"/>
      <c r="NJ139" s="14"/>
      <c r="NK139" s="14"/>
      <c r="NL139" s="14"/>
      <c r="NM139" s="3"/>
      <c r="NN139" s="3"/>
      <c r="NO139" s="3"/>
      <c r="NP139" s="3"/>
      <c r="NQ139" s="3"/>
      <c r="NR139" s="3"/>
      <c r="NS139" s="3"/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</row>
    <row r="140" ht="13.5" customHeight="1">
      <c r="A140" s="2"/>
      <c r="B140" s="22"/>
      <c r="C140" s="2"/>
      <c r="D140" s="13"/>
      <c r="E140" s="3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4"/>
      <c r="FJ140" s="14"/>
      <c r="FK140" s="14"/>
      <c r="FL140" s="14"/>
      <c r="FM140" s="14"/>
      <c r="FN140" s="14"/>
      <c r="FO140" s="14"/>
      <c r="FP140" s="14"/>
      <c r="FQ140" s="14"/>
      <c r="FR140" s="14"/>
      <c r="FS140" s="14"/>
      <c r="FT140" s="14"/>
      <c r="FU140" s="14"/>
      <c r="FV140" s="14"/>
      <c r="FW140" s="14"/>
      <c r="FX140" s="14"/>
      <c r="FY140" s="14"/>
      <c r="FZ140" s="14"/>
      <c r="GA140" s="14"/>
      <c r="GB140" s="14"/>
      <c r="GC140" s="14"/>
      <c r="GD140" s="14"/>
      <c r="GE140" s="14"/>
      <c r="GF140" s="14"/>
      <c r="GG140" s="14"/>
      <c r="GH140" s="14"/>
      <c r="GI140" s="14"/>
      <c r="GJ140" s="14"/>
      <c r="GK140" s="14"/>
      <c r="GL140" s="14"/>
      <c r="GM140" s="14"/>
      <c r="GN140" s="14"/>
      <c r="GO140" s="14"/>
      <c r="GP140" s="14"/>
      <c r="GQ140" s="14"/>
      <c r="GR140" s="14"/>
      <c r="GS140" s="14"/>
      <c r="GT140" s="14"/>
      <c r="GU140" s="14"/>
      <c r="GV140" s="14"/>
      <c r="GW140" s="14"/>
      <c r="GX140" s="14"/>
      <c r="GY140" s="14"/>
      <c r="GZ140" s="14"/>
      <c r="HA140" s="14"/>
      <c r="HB140" s="14"/>
      <c r="HC140" s="14"/>
      <c r="HD140" s="14"/>
      <c r="HE140" s="14"/>
      <c r="HF140" s="14"/>
      <c r="HG140" s="14"/>
      <c r="HH140" s="14"/>
      <c r="HI140" s="14"/>
      <c r="HJ140" s="14"/>
      <c r="HK140" s="14"/>
      <c r="HL140" s="14"/>
      <c r="HM140" s="14"/>
      <c r="HN140" s="14"/>
      <c r="HO140" s="14"/>
      <c r="HP140" s="14"/>
      <c r="HQ140" s="14"/>
      <c r="HR140" s="14"/>
      <c r="HS140" s="14"/>
      <c r="HT140" s="14"/>
      <c r="HU140" s="14"/>
      <c r="HV140" s="14"/>
      <c r="HW140" s="14"/>
      <c r="HX140" s="14"/>
      <c r="HY140" s="14"/>
      <c r="HZ140" s="14"/>
      <c r="IA140" s="14"/>
      <c r="IB140" s="14"/>
      <c r="IC140" s="14"/>
      <c r="ID140" s="14"/>
      <c r="IE140" s="14"/>
      <c r="IF140" s="14"/>
      <c r="IG140" s="14"/>
      <c r="IH140" s="14"/>
      <c r="II140" s="14"/>
      <c r="IJ140" s="14"/>
      <c r="IK140" s="14"/>
      <c r="IL140" s="14"/>
      <c r="IM140" s="14"/>
      <c r="IN140" s="14"/>
      <c r="IO140" s="14"/>
      <c r="IP140" s="14"/>
      <c r="IQ140" s="14"/>
      <c r="IR140" s="14"/>
      <c r="IS140" s="14"/>
      <c r="IT140" s="14"/>
      <c r="IU140" s="14"/>
      <c r="IV140" s="14"/>
      <c r="IW140" s="14"/>
      <c r="IX140" s="14"/>
      <c r="IY140" s="14"/>
      <c r="IZ140" s="14"/>
      <c r="JA140" s="14"/>
      <c r="JB140" s="14"/>
      <c r="JC140" s="14"/>
      <c r="JD140" s="14"/>
      <c r="JE140" s="14"/>
      <c r="JF140" s="14"/>
      <c r="JG140" s="14"/>
      <c r="JH140" s="14"/>
      <c r="JI140" s="14"/>
      <c r="JJ140" s="14"/>
      <c r="JK140" s="14"/>
      <c r="JL140" s="14"/>
      <c r="JM140" s="14"/>
      <c r="JN140" s="14"/>
      <c r="JO140" s="14"/>
      <c r="JP140" s="14"/>
      <c r="JQ140" s="14"/>
      <c r="JR140" s="14"/>
      <c r="JS140" s="14"/>
      <c r="JT140" s="14"/>
      <c r="JU140" s="14"/>
      <c r="JV140" s="14"/>
      <c r="JW140" s="14"/>
      <c r="JX140" s="14"/>
      <c r="JY140" s="14"/>
      <c r="JZ140" s="14"/>
      <c r="KA140" s="14"/>
      <c r="KB140" s="14"/>
      <c r="KC140" s="14"/>
      <c r="KD140" s="14"/>
      <c r="KE140" s="14"/>
      <c r="KF140" s="14"/>
      <c r="KG140" s="14"/>
      <c r="KH140" s="14"/>
      <c r="KI140" s="14"/>
      <c r="KJ140" s="14"/>
      <c r="KK140" s="14"/>
      <c r="KL140" s="14"/>
      <c r="KM140" s="14"/>
      <c r="KN140" s="14"/>
      <c r="KO140" s="14"/>
      <c r="KP140" s="14"/>
      <c r="KQ140" s="14"/>
      <c r="KR140" s="14"/>
      <c r="KS140" s="14"/>
      <c r="KT140" s="14"/>
      <c r="KU140" s="14"/>
      <c r="KV140" s="14"/>
      <c r="KW140" s="14"/>
      <c r="KX140" s="14"/>
      <c r="KY140" s="14"/>
      <c r="KZ140" s="14"/>
      <c r="LA140" s="14"/>
      <c r="LB140" s="14"/>
      <c r="LC140" s="14"/>
      <c r="LD140" s="14"/>
      <c r="LE140" s="14"/>
      <c r="LF140" s="14"/>
      <c r="LG140" s="14"/>
      <c r="LH140" s="14"/>
      <c r="LI140" s="14"/>
      <c r="LJ140" s="14"/>
      <c r="LK140" s="14"/>
      <c r="LL140" s="14"/>
      <c r="LM140" s="14"/>
      <c r="LN140" s="14"/>
      <c r="LO140" s="14"/>
      <c r="LP140" s="14"/>
      <c r="LQ140" s="14"/>
      <c r="LR140" s="14"/>
      <c r="LS140" s="14"/>
      <c r="LT140" s="14"/>
      <c r="LU140" s="14"/>
      <c r="LV140" s="14"/>
      <c r="LW140" s="14"/>
      <c r="LX140" s="14"/>
      <c r="LY140" s="14"/>
      <c r="LZ140" s="14"/>
      <c r="MA140" s="14"/>
      <c r="MB140" s="14"/>
      <c r="MC140" s="14"/>
      <c r="MD140" s="14"/>
      <c r="ME140" s="14"/>
      <c r="MF140" s="14"/>
      <c r="MG140" s="14"/>
      <c r="MH140" s="14"/>
      <c r="MI140" s="14"/>
      <c r="MJ140" s="14"/>
      <c r="MK140" s="14"/>
      <c r="ML140" s="14"/>
      <c r="MM140" s="14"/>
      <c r="MN140" s="14"/>
      <c r="MO140" s="14"/>
      <c r="MP140" s="14"/>
      <c r="MQ140" s="14"/>
      <c r="MR140" s="14"/>
      <c r="MS140" s="14"/>
      <c r="MT140" s="14"/>
      <c r="MU140" s="14"/>
      <c r="MV140" s="14"/>
      <c r="MW140" s="14"/>
      <c r="MX140" s="14"/>
      <c r="MY140" s="14"/>
      <c r="MZ140" s="14"/>
      <c r="NA140" s="14"/>
      <c r="NB140" s="14"/>
      <c r="NC140" s="14"/>
      <c r="ND140" s="14"/>
      <c r="NE140" s="14"/>
      <c r="NF140" s="14"/>
      <c r="NG140" s="14"/>
      <c r="NH140" s="14"/>
      <c r="NI140" s="14"/>
      <c r="NJ140" s="14"/>
      <c r="NK140" s="14"/>
      <c r="NL140" s="14"/>
      <c r="NM140" s="3"/>
      <c r="NN140" s="3"/>
      <c r="NO140" s="3"/>
      <c r="NP140" s="3"/>
      <c r="NQ140" s="3"/>
      <c r="NR140" s="3"/>
      <c r="NS140" s="3"/>
      <c r="NT140" s="3"/>
      <c r="NU140" s="3"/>
      <c r="NV140" s="3"/>
      <c r="NW140" s="3"/>
      <c r="NX140" s="3"/>
      <c r="NY140" s="3"/>
      <c r="NZ140" s="3"/>
      <c r="OA140" s="3"/>
      <c r="OB140" s="3"/>
      <c r="OC140" s="3"/>
      <c r="OD140" s="3"/>
      <c r="OE140" s="3"/>
      <c r="OF140" s="3"/>
    </row>
    <row r="141" ht="13.5" customHeight="1">
      <c r="A141" s="2"/>
      <c r="B141" s="22"/>
      <c r="C141" s="2"/>
      <c r="D141" s="13"/>
      <c r="E141" s="3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4"/>
      <c r="FJ141" s="14"/>
      <c r="FK141" s="14"/>
      <c r="FL141" s="14"/>
      <c r="FM141" s="14"/>
      <c r="FN141" s="14"/>
      <c r="FO141" s="14"/>
      <c r="FP141" s="14"/>
      <c r="FQ141" s="14"/>
      <c r="FR141" s="14"/>
      <c r="FS141" s="14"/>
      <c r="FT141" s="14"/>
      <c r="FU141" s="14"/>
      <c r="FV141" s="14"/>
      <c r="FW141" s="14"/>
      <c r="FX141" s="14"/>
      <c r="FY141" s="14"/>
      <c r="FZ141" s="14"/>
      <c r="GA141" s="14"/>
      <c r="GB141" s="14"/>
      <c r="GC141" s="14"/>
      <c r="GD141" s="14"/>
      <c r="GE141" s="14"/>
      <c r="GF141" s="14"/>
      <c r="GG141" s="14"/>
      <c r="GH141" s="14"/>
      <c r="GI141" s="14"/>
      <c r="GJ141" s="14"/>
      <c r="GK141" s="14"/>
      <c r="GL141" s="14"/>
      <c r="GM141" s="14"/>
      <c r="GN141" s="14"/>
      <c r="GO141" s="14"/>
      <c r="GP141" s="14"/>
      <c r="GQ141" s="14"/>
      <c r="GR141" s="14"/>
      <c r="GS141" s="14"/>
      <c r="GT141" s="14"/>
      <c r="GU141" s="14"/>
      <c r="GV141" s="14"/>
      <c r="GW141" s="14"/>
      <c r="GX141" s="14"/>
      <c r="GY141" s="14"/>
      <c r="GZ141" s="14"/>
      <c r="HA141" s="14"/>
      <c r="HB141" s="14"/>
      <c r="HC141" s="14"/>
      <c r="HD141" s="14"/>
      <c r="HE141" s="14"/>
      <c r="HF141" s="14"/>
      <c r="HG141" s="14"/>
      <c r="HH141" s="14"/>
      <c r="HI141" s="14"/>
      <c r="HJ141" s="14"/>
      <c r="HK141" s="14"/>
      <c r="HL141" s="14"/>
      <c r="HM141" s="14"/>
      <c r="HN141" s="14"/>
      <c r="HO141" s="14"/>
      <c r="HP141" s="14"/>
      <c r="HQ141" s="14"/>
      <c r="HR141" s="14"/>
      <c r="HS141" s="14"/>
      <c r="HT141" s="14"/>
      <c r="HU141" s="14"/>
      <c r="HV141" s="14"/>
      <c r="HW141" s="14"/>
      <c r="HX141" s="14"/>
      <c r="HY141" s="14"/>
      <c r="HZ141" s="14"/>
      <c r="IA141" s="14"/>
      <c r="IB141" s="14"/>
      <c r="IC141" s="14"/>
      <c r="ID141" s="14"/>
      <c r="IE141" s="14"/>
      <c r="IF141" s="14"/>
      <c r="IG141" s="14"/>
      <c r="IH141" s="14"/>
      <c r="II141" s="14"/>
      <c r="IJ141" s="14"/>
      <c r="IK141" s="14"/>
      <c r="IL141" s="14"/>
      <c r="IM141" s="14"/>
      <c r="IN141" s="14"/>
      <c r="IO141" s="14"/>
      <c r="IP141" s="14"/>
      <c r="IQ141" s="14"/>
      <c r="IR141" s="14"/>
      <c r="IS141" s="14"/>
      <c r="IT141" s="14"/>
      <c r="IU141" s="14"/>
      <c r="IV141" s="14"/>
      <c r="IW141" s="14"/>
      <c r="IX141" s="14"/>
      <c r="IY141" s="14"/>
      <c r="IZ141" s="14"/>
      <c r="JA141" s="14"/>
      <c r="JB141" s="14"/>
      <c r="JC141" s="14"/>
      <c r="JD141" s="14"/>
      <c r="JE141" s="14"/>
      <c r="JF141" s="14"/>
      <c r="JG141" s="14"/>
      <c r="JH141" s="14"/>
      <c r="JI141" s="14"/>
      <c r="JJ141" s="14"/>
      <c r="JK141" s="14"/>
      <c r="JL141" s="14"/>
      <c r="JM141" s="14"/>
      <c r="JN141" s="14"/>
      <c r="JO141" s="14"/>
      <c r="JP141" s="14"/>
      <c r="JQ141" s="14"/>
      <c r="JR141" s="14"/>
      <c r="JS141" s="14"/>
      <c r="JT141" s="14"/>
      <c r="JU141" s="14"/>
      <c r="JV141" s="14"/>
      <c r="JW141" s="14"/>
      <c r="JX141" s="14"/>
      <c r="JY141" s="14"/>
      <c r="JZ141" s="14"/>
      <c r="KA141" s="14"/>
      <c r="KB141" s="14"/>
      <c r="KC141" s="14"/>
      <c r="KD141" s="14"/>
      <c r="KE141" s="14"/>
      <c r="KF141" s="14"/>
      <c r="KG141" s="14"/>
      <c r="KH141" s="14"/>
      <c r="KI141" s="14"/>
      <c r="KJ141" s="14"/>
      <c r="KK141" s="14"/>
      <c r="KL141" s="14"/>
      <c r="KM141" s="14"/>
      <c r="KN141" s="14"/>
      <c r="KO141" s="14"/>
      <c r="KP141" s="14"/>
      <c r="KQ141" s="14"/>
      <c r="KR141" s="14"/>
      <c r="KS141" s="14"/>
      <c r="KT141" s="14"/>
      <c r="KU141" s="14"/>
      <c r="KV141" s="14"/>
      <c r="KW141" s="14"/>
      <c r="KX141" s="14"/>
      <c r="KY141" s="14"/>
      <c r="KZ141" s="14"/>
      <c r="LA141" s="14"/>
      <c r="LB141" s="14"/>
      <c r="LC141" s="14"/>
      <c r="LD141" s="14"/>
      <c r="LE141" s="14"/>
      <c r="LF141" s="14"/>
      <c r="LG141" s="14"/>
      <c r="LH141" s="14"/>
      <c r="LI141" s="14"/>
      <c r="LJ141" s="14"/>
      <c r="LK141" s="14"/>
      <c r="LL141" s="14"/>
      <c r="LM141" s="14"/>
      <c r="LN141" s="14"/>
      <c r="LO141" s="14"/>
      <c r="LP141" s="14"/>
      <c r="LQ141" s="14"/>
      <c r="LR141" s="14"/>
      <c r="LS141" s="14"/>
      <c r="LT141" s="14"/>
      <c r="LU141" s="14"/>
      <c r="LV141" s="14"/>
      <c r="LW141" s="14"/>
      <c r="LX141" s="14"/>
      <c r="LY141" s="14"/>
      <c r="LZ141" s="14"/>
      <c r="MA141" s="14"/>
      <c r="MB141" s="14"/>
      <c r="MC141" s="14"/>
      <c r="MD141" s="14"/>
      <c r="ME141" s="14"/>
      <c r="MF141" s="14"/>
      <c r="MG141" s="14"/>
      <c r="MH141" s="14"/>
      <c r="MI141" s="14"/>
      <c r="MJ141" s="14"/>
      <c r="MK141" s="14"/>
      <c r="ML141" s="14"/>
      <c r="MM141" s="14"/>
      <c r="MN141" s="14"/>
      <c r="MO141" s="14"/>
      <c r="MP141" s="14"/>
      <c r="MQ141" s="14"/>
      <c r="MR141" s="14"/>
      <c r="MS141" s="14"/>
      <c r="MT141" s="14"/>
      <c r="MU141" s="14"/>
      <c r="MV141" s="14"/>
      <c r="MW141" s="14"/>
      <c r="MX141" s="14"/>
      <c r="MY141" s="14"/>
      <c r="MZ141" s="14"/>
      <c r="NA141" s="14"/>
      <c r="NB141" s="14"/>
      <c r="NC141" s="14"/>
      <c r="ND141" s="14"/>
      <c r="NE141" s="14"/>
      <c r="NF141" s="14"/>
      <c r="NG141" s="14"/>
      <c r="NH141" s="14"/>
      <c r="NI141" s="14"/>
      <c r="NJ141" s="14"/>
      <c r="NK141" s="14"/>
      <c r="NL141" s="14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</row>
    <row r="142" ht="13.5" customHeight="1">
      <c r="A142" s="2"/>
      <c r="B142" s="22"/>
      <c r="C142" s="2"/>
      <c r="D142" s="13"/>
      <c r="E142" s="3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4"/>
      <c r="FJ142" s="14"/>
      <c r="FK142" s="14"/>
      <c r="FL142" s="14"/>
      <c r="FM142" s="14"/>
      <c r="FN142" s="14"/>
      <c r="FO142" s="14"/>
      <c r="FP142" s="14"/>
      <c r="FQ142" s="14"/>
      <c r="FR142" s="14"/>
      <c r="FS142" s="14"/>
      <c r="FT142" s="14"/>
      <c r="FU142" s="14"/>
      <c r="FV142" s="14"/>
      <c r="FW142" s="14"/>
      <c r="FX142" s="14"/>
      <c r="FY142" s="14"/>
      <c r="FZ142" s="14"/>
      <c r="GA142" s="14"/>
      <c r="GB142" s="14"/>
      <c r="GC142" s="14"/>
      <c r="GD142" s="14"/>
      <c r="GE142" s="14"/>
      <c r="GF142" s="14"/>
      <c r="GG142" s="14"/>
      <c r="GH142" s="14"/>
      <c r="GI142" s="14"/>
      <c r="GJ142" s="14"/>
      <c r="GK142" s="14"/>
      <c r="GL142" s="14"/>
      <c r="GM142" s="14"/>
      <c r="GN142" s="14"/>
      <c r="GO142" s="14"/>
      <c r="GP142" s="14"/>
      <c r="GQ142" s="14"/>
      <c r="GR142" s="14"/>
      <c r="GS142" s="14"/>
      <c r="GT142" s="14"/>
      <c r="GU142" s="14"/>
      <c r="GV142" s="14"/>
      <c r="GW142" s="14"/>
      <c r="GX142" s="14"/>
      <c r="GY142" s="14"/>
      <c r="GZ142" s="14"/>
      <c r="HA142" s="14"/>
      <c r="HB142" s="14"/>
      <c r="HC142" s="14"/>
      <c r="HD142" s="14"/>
      <c r="HE142" s="14"/>
      <c r="HF142" s="14"/>
      <c r="HG142" s="14"/>
      <c r="HH142" s="14"/>
      <c r="HI142" s="14"/>
      <c r="HJ142" s="14"/>
      <c r="HK142" s="14"/>
      <c r="HL142" s="14"/>
      <c r="HM142" s="14"/>
      <c r="HN142" s="14"/>
      <c r="HO142" s="14"/>
      <c r="HP142" s="14"/>
      <c r="HQ142" s="14"/>
      <c r="HR142" s="14"/>
      <c r="HS142" s="14"/>
      <c r="HT142" s="14"/>
      <c r="HU142" s="14"/>
      <c r="HV142" s="14"/>
      <c r="HW142" s="14"/>
      <c r="HX142" s="14"/>
      <c r="HY142" s="14"/>
      <c r="HZ142" s="14"/>
      <c r="IA142" s="14"/>
      <c r="IB142" s="14"/>
      <c r="IC142" s="14"/>
      <c r="ID142" s="14"/>
      <c r="IE142" s="14"/>
      <c r="IF142" s="14"/>
      <c r="IG142" s="14"/>
      <c r="IH142" s="14"/>
      <c r="II142" s="14"/>
      <c r="IJ142" s="14"/>
      <c r="IK142" s="14"/>
      <c r="IL142" s="14"/>
      <c r="IM142" s="14"/>
      <c r="IN142" s="14"/>
      <c r="IO142" s="14"/>
      <c r="IP142" s="14"/>
      <c r="IQ142" s="14"/>
      <c r="IR142" s="14"/>
      <c r="IS142" s="14"/>
      <c r="IT142" s="14"/>
      <c r="IU142" s="14"/>
      <c r="IV142" s="14"/>
      <c r="IW142" s="14"/>
      <c r="IX142" s="14"/>
      <c r="IY142" s="14"/>
      <c r="IZ142" s="14"/>
      <c r="JA142" s="14"/>
      <c r="JB142" s="14"/>
      <c r="JC142" s="14"/>
      <c r="JD142" s="14"/>
      <c r="JE142" s="14"/>
      <c r="JF142" s="14"/>
      <c r="JG142" s="14"/>
      <c r="JH142" s="14"/>
      <c r="JI142" s="14"/>
      <c r="JJ142" s="14"/>
      <c r="JK142" s="14"/>
      <c r="JL142" s="14"/>
      <c r="JM142" s="14"/>
      <c r="JN142" s="14"/>
      <c r="JO142" s="14"/>
      <c r="JP142" s="14"/>
      <c r="JQ142" s="14"/>
      <c r="JR142" s="14"/>
      <c r="JS142" s="14"/>
      <c r="JT142" s="14"/>
      <c r="JU142" s="14"/>
      <c r="JV142" s="14"/>
      <c r="JW142" s="14"/>
      <c r="JX142" s="14"/>
      <c r="JY142" s="14"/>
      <c r="JZ142" s="14"/>
      <c r="KA142" s="14"/>
      <c r="KB142" s="14"/>
      <c r="KC142" s="14"/>
      <c r="KD142" s="14"/>
      <c r="KE142" s="14"/>
      <c r="KF142" s="14"/>
      <c r="KG142" s="14"/>
      <c r="KH142" s="14"/>
      <c r="KI142" s="14"/>
      <c r="KJ142" s="14"/>
      <c r="KK142" s="14"/>
      <c r="KL142" s="14"/>
      <c r="KM142" s="14"/>
      <c r="KN142" s="14"/>
      <c r="KO142" s="14"/>
      <c r="KP142" s="14"/>
      <c r="KQ142" s="14"/>
      <c r="KR142" s="14"/>
      <c r="KS142" s="14"/>
      <c r="KT142" s="14"/>
      <c r="KU142" s="14"/>
      <c r="KV142" s="14"/>
      <c r="KW142" s="14"/>
      <c r="KX142" s="14"/>
      <c r="KY142" s="14"/>
      <c r="KZ142" s="14"/>
      <c r="LA142" s="14"/>
      <c r="LB142" s="14"/>
      <c r="LC142" s="14"/>
      <c r="LD142" s="14"/>
      <c r="LE142" s="14"/>
      <c r="LF142" s="14"/>
      <c r="LG142" s="14"/>
      <c r="LH142" s="14"/>
      <c r="LI142" s="14"/>
      <c r="LJ142" s="14"/>
      <c r="LK142" s="14"/>
      <c r="LL142" s="14"/>
      <c r="LM142" s="14"/>
      <c r="LN142" s="14"/>
      <c r="LO142" s="14"/>
      <c r="LP142" s="14"/>
      <c r="LQ142" s="14"/>
      <c r="LR142" s="14"/>
      <c r="LS142" s="14"/>
      <c r="LT142" s="14"/>
      <c r="LU142" s="14"/>
      <c r="LV142" s="14"/>
      <c r="LW142" s="14"/>
      <c r="LX142" s="14"/>
      <c r="LY142" s="14"/>
      <c r="LZ142" s="14"/>
      <c r="MA142" s="14"/>
      <c r="MB142" s="14"/>
      <c r="MC142" s="14"/>
      <c r="MD142" s="14"/>
      <c r="ME142" s="14"/>
      <c r="MF142" s="14"/>
      <c r="MG142" s="14"/>
      <c r="MH142" s="14"/>
      <c r="MI142" s="14"/>
      <c r="MJ142" s="14"/>
      <c r="MK142" s="14"/>
      <c r="ML142" s="14"/>
      <c r="MM142" s="14"/>
      <c r="MN142" s="14"/>
      <c r="MO142" s="14"/>
      <c r="MP142" s="14"/>
      <c r="MQ142" s="14"/>
      <c r="MR142" s="14"/>
      <c r="MS142" s="14"/>
      <c r="MT142" s="14"/>
      <c r="MU142" s="14"/>
      <c r="MV142" s="14"/>
      <c r="MW142" s="14"/>
      <c r="MX142" s="14"/>
      <c r="MY142" s="14"/>
      <c r="MZ142" s="14"/>
      <c r="NA142" s="14"/>
      <c r="NB142" s="14"/>
      <c r="NC142" s="14"/>
      <c r="ND142" s="14"/>
      <c r="NE142" s="14"/>
      <c r="NF142" s="14"/>
      <c r="NG142" s="14"/>
      <c r="NH142" s="14"/>
      <c r="NI142" s="14"/>
      <c r="NJ142" s="14"/>
      <c r="NK142" s="14"/>
      <c r="NL142" s="14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</row>
    <row r="143" ht="13.5" customHeight="1">
      <c r="A143" s="2"/>
      <c r="B143" s="22"/>
      <c r="C143" s="2"/>
      <c r="D143" s="13"/>
      <c r="E143" s="3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4"/>
      <c r="FJ143" s="14"/>
      <c r="FK143" s="14"/>
      <c r="FL143" s="14"/>
      <c r="FM143" s="14"/>
      <c r="FN143" s="14"/>
      <c r="FO143" s="14"/>
      <c r="FP143" s="14"/>
      <c r="FQ143" s="14"/>
      <c r="FR143" s="14"/>
      <c r="FS143" s="14"/>
      <c r="FT143" s="14"/>
      <c r="FU143" s="14"/>
      <c r="FV143" s="14"/>
      <c r="FW143" s="14"/>
      <c r="FX143" s="14"/>
      <c r="FY143" s="14"/>
      <c r="FZ143" s="14"/>
      <c r="GA143" s="14"/>
      <c r="GB143" s="14"/>
      <c r="GC143" s="14"/>
      <c r="GD143" s="14"/>
      <c r="GE143" s="14"/>
      <c r="GF143" s="14"/>
      <c r="GG143" s="14"/>
      <c r="GH143" s="14"/>
      <c r="GI143" s="14"/>
      <c r="GJ143" s="14"/>
      <c r="GK143" s="14"/>
      <c r="GL143" s="14"/>
      <c r="GM143" s="14"/>
      <c r="GN143" s="14"/>
      <c r="GO143" s="14"/>
      <c r="GP143" s="14"/>
      <c r="GQ143" s="14"/>
      <c r="GR143" s="14"/>
      <c r="GS143" s="14"/>
      <c r="GT143" s="14"/>
      <c r="GU143" s="14"/>
      <c r="GV143" s="14"/>
      <c r="GW143" s="14"/>
      <c r="GX143" s="14"/>
      <c r="GY143" s="14"/>
      <c r="GZ143" s="14"/>
      <c r="HA143" s="14"/>
      <c r="HB143" s="14"/>
      <c r="HC143" s="14"/>
      <c r="HD143" s="14"/>
      <c r="HE143" s="14"/>
      <c r="HF143" s="14"/>
      <c r="HG143" s="14"/>
      <c r="HH143" s="14"/>
      <c r="HI143" s="14"/>
      <c r="HJ143" s="14"/>
      <c r="HK143" s="14"/>
      <c r="HL143" s="14"/>
      <c r="HM143" s="14"/>
      <c r="HN143" s="14"/>
      <c r="HO143" s="14"/>
      <c r="HP143" s="14"/>
      <c r="HQ143" s="14"/>
      <c r="HR143" s="14"/>
      <c r="HS143" s="14"/>
      <c r="HT143" s="14"/>
      <c r="HU143" s="14"/>
      <c r="HV143" s="14"/>
      <c r="HW143" s="14"/>
      <c r="HX143" s="14"/>
      <c r="HY143" s="14"/>
      <c r="HZ143" s="14"/>
      <c r="IA143" s="14"/>
      <c r="IB143" s="14"/>
      <c r="IC143" s="14"/>
      <c r="ID143" s="14"/>
      <c r="IE143" s="14"/>
      <c r="IF143" s="14"/>
      <c r="IG143" s="14"/>
      <c r="IH143" s="14"/>
      <c r="II143" s="14"/>
      <c r="IJ143" s="14"/>
      <c r="IK143" s="14"/>
      <c r="IL143" s="14"/>
      <c r="IM143" s="14"/>
      <c r="IN143" s="14"/>
      <c r="IO143" s="14"/>
      <c r="IP143" s="14"/>
      <c r="IQ143" s="14"/>
      <c r="IR143" s="14"/>
      <c r="IS143" s="14"/>
      <c r="IT143" s="14"/>
      <c r="IU143" s="14"/>
      <c r="IV143" s="14"/>
      <c r="IW143" s="14"/>
      <c r="IX143" s="14"/>
      <c r="IY143" s="14"/>
      <c r="IZ143" s="14"/>
      <c r="JA143" s="14"/>
      <c r="JB143" s="14"/>
      <c r="JC143" s="14"/>
      <c r="JD143" s="14"/>
      <c r="JE143" s="14"/>
      <c r="JF143" s="14"/>
      <c r="JG143" s="14"/>
      <c r="JH143" s="14"/>
      <c r="JI143" s="14"/>
      <c r="JJ143" s="14"/>
      <c r="JK143" s="14"/>
      <c r="JL143" s="14"/>
      <c r="JM143" s="14"/>
      <c r="JN143" s="14"/>
      <c r="JO143" s="14"/>
      <c r="JP143" s="14"/>
      <c r="JQ143" s="14"/>
      <c r="JR143" s="14"/>
      <c r="JS143" s="14"/>
      <c r="JT143" s="14"/>
      <c r="JU143" s="14"/>
      <c r="JV143" s="14"/>
      <c r="JW143" s="14"/>
      <c r="JX143" s="14"/>
      <c r="JY143" s="14"/>
      <c r="JZ143" s="14"/>
      <c r="KA143" s="14"/>
      <c r="KB143" s="14"/>
      <c r="KC143" s="14"/>
      <c r="KD143" s="14"/>
      <c r="KE143" s="14"/>
      <c r="KF143" s="14"/>
      <c r="KG143" s="14"/>
      <c r="KH143" s="14"/>
      <c r="KI143" s="14"/>
      <c r="KJ143" s="14"/>
      <c r="KK143" s="14"/>
      <c r="KL143" s="14"/>
      <c r="KM143" s="14"/>
      <c r="KN143" s="14"/>
      <c r="KO143" s="14"/>
      <c r="KP143" s="14"/>
      <c r="KQ143" s="14"/>
      <c r="KR143" s="14"/>
      <c r="KS143" s="14"/>
      <c r="KT143" s="14"/>
      <c r="KU143" s="14"/>
      <c r="KV143" s="14"/>
      <c r="KW143" s="14"/>
      <c r="KX143" s="14"/>
      <c r="KY143" s="14"/>
      <c r="KZ143" s="14"/>
      <c r="LA143" s="14"/>
      <c r="LB143" s="14"/>
      <c r="LC143" s="14"/>
      <c r="LD143" s="14"/>
      <c r="LE143" s="14"/>
      <c r="LF143" s="14"/>
      <c r="LG143" s="14"/>
      <c r="LH143" s="14"/>
      <c r="LI143" s="14"/>
      <c r="LJ143" s="14"/>
      <c r="LK143" s="14"/>
      <c r="LL143" s="14"/>
      <c r="LM143" s="14"/>
      <c r="LN143" s="14"/>
      <c r="LO143" s="14"/>
      <c r="LP143" s="14"/>
      <c r="LQ143" s="14"/>
      <c r="LR143" s="14"/>
      <c r="LS143" s="14"/>
      <c r="LT143" s="14"/>
      <c r="LU143" s="14"/>
      <c r="LV143" s="14"/>
      <c r="LW143" s="14"/>
      <c r="LX143" s="14"/>
      <c r="LY143" s="14"/>
      <c r="LZ143" s="14"/>
      <c r="MA143" s="14"/>
      <c r="MB143" s="14"/>
      <c r="MC143" s="14"/>
      <c r="MD143" s="14"/>
      <c r="ME143" s="14"/>
      <c r="MF143" s="14"/>
      <c r="MG143" s="14"/>
      <c r="MH143" s="14"/>
      <c r="MI143" s="14"/>
      <c r="MJ143" s="14"/>
      <c r="MK143" s="14"/>
      <c r="ML143" s="14"/>
      <c r="MM143" s="14"/>
      <c r="MN143" s="14"/>
      <c r="MO143" s="14"/>
      <c r="MP143" s="14"/>
      <c r="MQ143" s="14"/>
      <c r="MR143" s="14"/>
      <c r="MS143" s="14"/>
      <c r="MT143" s="14"/>
      <c r="MU143" s="14"/>
      <c r="MV143" s="14"/>
      <c r="MW143" s="14"/>
      <c r="MX143" s="14"/>
      <c r="MY143" s="14"/>
      <c r="MZ143" s="14"/>
      <c r="NA143" s="14"/>
      <c r="NB143" s="14"/>
      <c r="NC143" s="14"/>
      <c r="ND143" s="14"/>
      <c r="NE143" s="14"/>
      <c r="NF143" s="14"/>
      <c r="NG143" s="14"/>
      <c r="NH143" s="14"/>
      <c r="NI143" s="14"/>
      <c r="NJ143" s="14"/>
      <c r="NK143" s="14"/>
      <c r="NL143" s="14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</row>
    <row r="144" ht="13.5" customHeight="1">
      <c r="A144" s="2"/>
      <c r="B144" s="22"/>
      <c r="C144" s="2"/>
      <c r="D144" s="13"/>
      <c r="E144" s="3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4"/>
      <c r="EJ144" s="14"/>
      <c r="EK144" s="14"/>
      <c r="EL144" s="14"/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4"/>
      <c r="FJ144" s="14"/>
      <c r="FK144" s="14"/>
      <c r="FL144" s="14"/>
      <c r="FM144" s="14"/>
      <c r="FN144" s="14"/>
      <c r="FO144" s="14"/>
      <c r="FP144" s="14"/>
      <c r="FQ144" s="14"/>
      <c r="FR144" s="14"/>
      <c r="FS144" s="14"/>
      <c r="FT144" s="14"/>
      <c r="FU144" s="14"/>
      <c r="FV144" s="14"/>
      <c r="FW144" s="14"/>
      <c r="FX144" s="14"/>
      <c r="FY144" s="14"/>
      <c r="FZ144" s="14"/>
      <c r="GA144" s="14"/>
      <c r="GB144" s="14"/>
      <c r="GC144" s="14"/>
      <c r="GD144" s="14"/>
      <c r="GE144" s="14"/>
      <c r="GF144" s="14"/>
      <c r="GG144" s="14"/>
      <c r="GH144" s="14"/>
      <c r="GI144" s="14"/>
      <c r="GJ144" s="14"/>
      <c r="GK144" s="14"/>
      <c r="GL144" s="14"/>
      <c r="GM144" s="14"/>
      <c r="GN144" s="14"/>
      <c r="GO144" s="14"/>
      <c r="GP144" s="14"/>
      <c r="GQ144" s="14"/>
      <c r="GR144" s="14"/>
      <c r="GS144" s="14"/>
      <c r="GT144" s="14"/>
      <c r="GU144" s="14"/>
      <c r="GV144" s="14"/>
      <c r="GW144" s="14"/>
      <c r="GX144" s="14"/>
      <c r="GY144" s="14"/>
      <c r="GZ144" s="14"/>
      <c r="HA144" s="14"/>
      <c r="HB144" s="14"/>
      <c r="HC144" s="14"/>
      <c r="HD144" s="14"/>
      <c r="HE144" s="14"/>
      <c r="HF144" s="14"/>
      <c r="HG144" s="14"/>
      <c r="HH144" s="14"/>
      <c r="HI144" s="14"/>
      <c r="HJ144" s="14"/>
      <c r="HK144" s="14"/>
      <c r="HL144" s="14"/>
      <c r="HM144" s="14"/>
      <c r="HN144" s="14"/>
      <c r="HO144" s="14"/>
      <c r="HP144" s="14"/>
      <c r="HQ144" s="14"/>
      <c r="HR144" s="14"/>
      <c r="HS144" s="14"/>
      <c r="HT144" s="14"/>
      <c r="HU144" s="14"/>
      <c r="HV144" s="14"/>
      <c r="HW144" s="14"/>
      <c r="HX144" s="14"/>
      <c r="HY144" s="14"/>
      <c r="HZ144" s="14"/>
      <c r="IA144" s="14"/>
      <c r="IB144" s="14"/>
      <c r="IC144" s="14"/>
      <c r="ID144" s="14"/>
      <c r="IE144" s="14"/>
      <c r="IF144" s="14"/>
      <c r="IG144" s="14"/>
      <c r="IH144" s="14"/>
      <c r="II144" s="14"/>
      <c r="IJ144" s="14"/>
      <c r="IK144" s="14"/>
      <c r="IL144" s="14"/>
      <c r="IM144" s="14"/>
      <c r="IN144" s="14"/>
      <c r="IO144" s="14"/>
      <c r="IP144" s="14"/>
      <c r="IQ144" s="14"/>
      <c r="IR144" s="14"/>
      <c r="IS144" s="14"/>
      <c r="IT144" s="14"/>
      <c r="IU144" s="14"/>
      <c r="IV144" s="14"/>
      <c r="IW144" s="14"/>
      <c r="IX144" s="14"/>
      <c r="IY144" s="14"/>
      <c r="IZ144" s="14"/>
      <c r="JA144" s="14"/>
      <c r="JB144" s="14"/>
      <c r="JC144" s="14"/>
      <c r="JD144" s="14"/>
      <c r="JE144" s="14"/>
      <c r="JF144" s="14"/>
      <c r="JG144" s="14"/>
      <c r="JH144" s="14"/>
      <c r="JI144" s="14"/>
      <c r="JJ144" s="14"/>
      <c r="JK144" s="14"/>
      <c r="JL144" s="14"/>
      <c r="JM144" s="14"/>
      <c r="JN144" s="14"/>
      <c r="JO144" s="14"/>
      <c r="JP144" s="14"/>
      <c r="JQ144" s="14"/>
      <c r="JR144" s="14"/>
      <c r="JS144" s="14"/>
      <c r="JT144" s="14"/>
      <c r="JU144" s="14"/>
      <c r="JV144" s="14"/>
      <c r="JW144" s="14"/>
      <c r="JX144" s="14"/>
      <c r="JY144" s="14"/>
      <c r="JZ144" s="14"/>
      <c r="KA144" s="14"/>
      <c r="KB144" s="14"/>
      <c r="KC144" s="14"/>
      <c r="KD144" s="14"/>
      <c r="KE144" s="14"/>
      <c r="KF144" s="14"/>
      <c r="KG144" s="14"/>
      <c r="KH144" s="14"/>
      <c r="KI144" s="14"/>
      <c r="KJ144" s="14"/>
      <c r="KK144" s="14"/>
      <c r="KL144" s="14"/>
      <c r="KM144" s="14"/>
      <c r="KN144" s="14"/>
      <c r="KO144" s="14"/>
      <c r="KP144" s="14"/>
      <c r="KQ144" s="14"/>
      <c r="KR144" s="14"/>
      <c r="KS144" s="14"/>
      <c r="KT144" s="14"/>
      <c r="KU144" s="14"/>
      <c r="KV144" s="14"/>
      <c r="KW144" s="14"/>
      <c r="KX144" s="14"/>
      <c r="KY144" s="14"/>
      <c r="KZ144" s="14"/>
      <c r="LA144" s="14"/>
      <c r="LB144" s="14"/>
      <c r="LC144" s="14"/>
      <c r="LD144" s="14"/>
      <c r="LE144" s="14"/>
      <c r="LF144" s="14"/>
      <c r="LG144" s="14"/>
      <c r="LH144" s="14"/>
      <c r="LI144" s="14"/>
      <c r="LJ144" s="14"/>
      <c r="LK144" s="14"/>
      <c r="LL144" s="14"/>
      <c r="LM144" s="14"/>
      <c r="LN144" s="14"/>
      <c r="LO144" s="14"/>
      <c r="LP144" s="14"/>
      <c r="LQ144" s="14"/>
      <c r="LR144" s="14"/>
      <c r="LS144" s="14"/>
      <c r="LT144" s="14"/>
      <c r="LU144" s="14"/>
      <c r="LV144" s="14"/>
      <c r="LW144" s="14"/>
      <c r="LX144" s="14"/>
      <c r="LY144" s="14"/>
      <c r="LZ144" s="14"/>
      <c r="MA144" s="14"/>
      <c r="MB144" s="14"/>
      <c r="MC144" s="14"/>
      <c r="MD144" s="14"/>
      <c r="ME144" s="14"/>
      <c r="MF144" s="14"/>
      <c r="MG144" s="14"/>
      <c r="MH144" s="14"/>
      <c r="MI144" s="14"/>
      <c r="MJ144" s="14"/>
      <c r="MK144" s="14"/>
      <c r="ML144" s="14"/>
      <c r="MM144" s="14"/>
      <c r="MN144" s="14"/>
      <c r="MO144" s="14"/>
      <c r="MP144" s="14"/>
      <c r="MQ144" s="14"/>
      <c r="MR144" s="14"/>
      <c r="MS144" s="14"/>
      <c r="MT144" s="14"/>
      <c r="MU144" s="14"/>
      <c r="MV144" s="14"/>
      <c r="MW144" s="14"/>
      <c r="MX144" s="14"/>
      <c r="MY144" s="14"/>
      <c r="MZ144" s="14"/>
      <c r="NA144" s="14"/>
      <c r="NB144" s="14"/>
      <c r="NC144" s="14"/>
      <c r="ND144" s="14"/>
      <c r="NE144" s="14"/>
      <c r="NF144" s="14"/>
      <c r="NG144" s="14"/>
      <c r="NH144" s="14"/>
      <c r="NI144" s="14"/>
      <c r="NJ144" s="14"/>
      <c r="NK144" s="14"/>
      <c r="NL144" s="14"/>
      <c r="NM144" s="3"/>
      <c r="NN144" s="3"/>
      <c r="NO144" s="3"/>
      <c r="NP144" s="3"/>
      <c r="NQ144" s="3"/>
      <c r="NR144" s="3"/>
      <c r="NS144" s="3"/>
      <c r="NT144" s="3"/>
      <c r="NU144" s="3"/>
      <c r="NV144" s="3"/>
      <c r="NW144" s="3"/>
      <c r="NX144" s="3"/>
      <c r="NY144" s="3"/>
      <c r="NZ144" s="3"/>
      <c r="OA144" s="3"/>
      <c r="OB144" s="3"/>
      <c r="OC144" s="3"/>
      <c r="OD144" s="3"/>
      <c r="OE144" s="3"/>
      <c r="OF144" s="3"/>
    </row>
    <row r="145" ht="13.5" customHeight="1">
      <c r="A145" s="2"/>
      <c r="B145" s="22"/>
      <c r="C145" s="2"/>
      <c r="D145" s="13"/>
      <c r="E145" s="3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4"/>
      <c r="EJ145" s="14"/>
      <c r="EK145" s="14"/>
      <c r="EL145" s="14"/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4"/>
      <c r="FJ145" s="14"/>
      <c r="FK145" s="14"/>
      <c r="FL145" s="14"/>
      <c r="FM145" s="14"/>
      <c r="FN145" s="14"/>
      <c r="FO145" s="14"/>
      <c r="FP145" s="14"/>
      <c r="FQ145" s="14"/>
      <c r="FR145" s="14"/>
      <c r="FS145" s="14"/>
      <c r="FT145" s="14"/>
      <c r="FU145" s="14"/>
      <c r="FV145" s="14"/>
      <c r="FW145" s="14"/>
      <c r="FX145" s="14"/>
      <c r="FY145" s="14"/>
      <c r="FZ145" s="14"/>
      <c r="GA145" s="14"/>
      <c r="GB145" s="14"/>
      <c r="GC145" s="14"/>
      <c r="GD145" s="14"/>
      <c r="GE145" s="14"/>
      <c r="GF145" s="14"/>
      <c r="GG145" s="14"/>
      <c r="GH145" s="14"/>
      <c r="GI145" s="14"/>
      <c r="GJ145" s="14"/>
      <c r="GK145" s="14"/>
      <c r="GL145" s="14"/>
      <c r="GM145" s="14"/>
      <c r="GN145" s="14"/>
      <c r="GO145" s="14"/>
      <c r="GP145" s="14"/>
      <c r="GQ145" s="14"/>
      <c r="GR145" s="14"/>
      <c r="GS145" s="14"/>
      <c r="GT145" s="14"/>
      <c r="GU145" s="14"/>
      <c r="GV145" s="14"/>
      <c r="GW145" s="14"/>
      <c r="GX145" s="14"/>
      <c r="GY145" s="14"/>
      <c r="GZ145" s="14"/>
      <c r="HA145" s="14"/>
      <c r="HB145" s="14"/>
      <c r="HC145" s="14"/>
      <c r="HD145" s="14"/>
      <c r="HE145" s="14"/>
      <c r="HF145" s="14"/>
      <c r="HG145" s="14"/>
      <c r="HH145" s="14"/>
      <c r="HI145" s="14"/>
      <c r="HJ145" s="14"/>
      <c r="HK145" s="14"/>
      <c r="HL145" s="14"/>
      <c r="HM145" s="14"/>
      <c r="HN145" s="14"/>
      <c r="HO145" s="14"/>
      <c r="HP145" s="14"/>
      <c r="HQ145" s="14"/>
      <c r="HR145" s="14"/>
      <c r="HS145" s="14"/>
      <c r="HT145" s="14"/>
      <c r="HU145" s="14"/>
      <c r="HV145" s="14"/>
      <c r="HW145" s="14"/>
      <c r="HX145" s="14"/>
      <c r="HY145" s="14"/>
      <c r="HZ145" s="14"/>
      <c r="IA145" s="14"/>
      <c r="IB145" s="14"/>
      <c r="IC145" s="14"/>
      <c r="ID145" s="14"/>
      <c r="IE145" s="14"/>
      <c r="IF145" s="14"/>
      <c r="IG145" s="14"/>
      <c r="IH145" s="14"/>
      <c r="II145" s="14"/>
      <c r="IJ145" s="14"/>
      <c r="IK145" s="14"/>
      <c r="IL145" s="14"/>
      <c r="IM145" s="14"/>
      <c r="IN145" s="14"/>
      <c r="IO145" s="14"/>
      <c r="IP145" s="14"/>
      <c r="IQ145" s="14"/>
      <c r="IR145" s="14"/>
      <c r="IS145" s="14"/>
      <c r="IT145" s="14"/>
      <c r="IU145" s="14"/>
      <c r="IV145" s="14"/>
      <c r="IW145" s="14"/>
      <c r="IX145" s="14"/>
      <c r="IY145" s="14"/>
      <c r="IZ145" s="14"/>
      <c r="JA145" s="14"/>
      <c r="JB145" s="14"/>
      <c r="JC145" s="14"/>
      <c r="JD145" s="14"/>
      <c r="JE145" s="14"/>
      <c r="JF145" s="14"/>
      <c r="JG145" s="14"/>
      <c r="JH145" s="14"/>
      <c r="JI145" s="14"/>
      <c r="JJ145" s="14"/>
      <c r="JK145" s="14"/>
      <c r="JL145" s="14"/>
      <c r="JM145" s="14"/>
      <c r="JN145" s="14"/>
      <c r="JO145" s="14"/>
      <c r="JP145" s="14"/>
      <c r="JQ145" s="14"/>
      <c r="JR145" s="14"/>
      <c r="JS145" s="14"/>
      <c r="JT145" s="14"/>
      <c r="JU145" s="14"/>
      <c r="JV145" s="14"/>
      <c r="JW145" s="14"/>
      <c r="JX145" s="14"/>
      <c r="JY145" s="14"/>
      <c r="JZ145" s="14"/>
      <c r="KA145" s="14"/>
      <c r="KB145" s="14"/>
      <c r="KC145" s="14"/>
      <c r="KD145" s="14"/>
      <c r="KE145" s="14"/>
      <c r="KF145" s="14"/>
      <c r="KG145" s="14"/>
      <c r="KH145" s="14"/>
      <c r="KI145" s="14"/>
      <c r="KJ145" s="14"/>
      <c r="KK145" s="14"/>
      <c r="KL145" s="14"/>
      <c r="KM145" s="14"/>
      <c r="KN145" s="14"/>
      <c r="KO145" s="14"/>
      <c r="KP145" s="14"/>
      <c r="KQ145" s="14"/>
      <c r="KR145" s="14"/>
      <c r="KS145" s="14"/>
      <c r="KT145" s="14"/>
      <c r="KU145" s="14"/>
      <c r="KV145" s="14"/>
      <c r="KW145" s="14"/>
      <c r="KX145" s="14"/>
      <c r="KY145" s="14"/>
      <c r="KZ145" s="14"/>
      <c r="LA145" s="14"/>
      <c r="LB145" s="14"/>
      <c r="LC145" s="14"/>
      <c r="LD145" s="14"/>
      <c r="LE145" s="14"/>
      <c r="LF145" s="14"/>
      <c r="LG145" s="14"/>
      <c r="LH145" s="14"/>
      <c r="LI145" s="14"/>
      <c r="LJ145" s="14"/>
      <c r="LK145" s="14"/>
      <c r="LL145" s="14"/>
      <c r="LM145" s="14"/>
      <c r="LN145" s="14"/>
      <c r="LO145" s="14"/>
      <c r="LP145" s="14"/>
      <c r="LQ145" s="14"/>
      <c r="LR145" s="14"/>
      <c r="LS145" s="14"/>
      <c r="LT145" s="14"/>
      <c r="LU145" s="14"/>
      <c r="LV145" s="14"/>
      <c r="LW145" s="14"/>
      <c r="LX145" s="14"/>
      <c r="LY145" s="14"/>
      <c r="LZ145" s="14"/>
      <c r="MA145" s="14"/>
      <c r="MB145" s="14"/>
      <c r="MC145" s="14"/>
      <c r="MD145" s="14"/>
      <c r="ME145" s="14"/>
      <c r="MF145" s="14"/>
      <c r="MG145" s="14"/>
      <c r="MH145" s="14"/>
      <c r="MI145" s="14"/>
      <c r="MJ145" s="14"/>
      <c r="MK145" s="14"/>
      <c r="ML145" s="14"/>
      <c r="MM145" s="14"/>
      <c r="MN145" s="14"/>
      <c r="MO145" s="14"/>
      <c r="MP145" s="14"/>
      <c r="MQ145" s="14"/>
      <c r="MR145" s="14"/>
      <c r="MS145" s="14"/>
      <c r="MT145" s="14"/>
      <c r="MU145" s="14"/>
      <c r="MV145" s="14"/>
      <c r="MW145" s="14"/>
      <c r="MX145" s="14"/>
      <c r="MY145" s="14"/>
      <c r="MZ145" s="14"/>
      <c r="NA145" s="14"/>
      <c r="NB145" s="14"/>
      <c r="NC145" s="14"/>
      <c r="ND145" s="14"/>
      <c r="NE145" s="14"/>
      <c r="NF145" s="14"/>
      <c r="NG145" s="14"/>
      <c r="NH145" s="14"/>
      <c r="NI145" s="14"/>
      <c r="NJ145" s="14"/>
      <c r="NK145" s="14"/>
      <c r="NL145" s="14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</row>
    <row r="146" ht="13.5" customHeight="1">
      <c r="A146" s="2"/>
      <c r="B146" s="22"/>
      <c r="C146" s="2"/>
      <c r="D146" s="13"/>
      <c r="E146" s="3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4"/>
      <c r="FJ146" s="14"/>
      <c r="FK146" s="14"/>
      <c r="FL146" s="14"/>
      <c r="FM146" s="14"/>
      <c r="FN146" s="14"/>
      <c r="FO146" s="14"/>
      <c r="FP146" s="14"/>
      <c r="FQ146" s="14"/>
      <c r="FR146" s="14"/>
      <c r="FS146" s="14"/>
      <c r="FT146" s="14"/>
      <c r="FU146" s="14"/>
      <c r="FV146" s="14"/>
      <c r="FW146" s="14"/>
      <c r="FX146" s="14"/>
      <c r="FY146" s="14"/>
      <c r="FZ146" s="14"/>
      <c r="GA146" s="14"/>
      <c r="GB146" s="14"/>
      <c r="GC146" s="14"/>
      <c r="GD146" s="14"/>
      <c r="GE146" s="14"/>
      <c r="GF146" s="14"/>
      <c r="GG146" s="14"/>
      <c r="GH146" s="14"/>
      <c r="GI146" s="14"/>
      <c r="GJ146" s="14"/>
      <c r="GK146" s="14"/>
      <c r="GL146" s="14"/>
      <c r="GM146" s="14"/>
      <c r="GN146" s="14"/>
      <c r="GO146" s="14"/>
      <c r="GP146" s="14"/>
      <c r="GQ146" s="14"/>
      <c r="GR146" s="14"/>
      <c r="GS146" s="14"/>
      <c r="GT146" s="14"/>
      <c r="GU146" s="14"/>
      <c r="GV146" s="14"/>
      <c r="GW146" s="14"/>
      <c r="GX146" s="14"/>
      <c r="GY146" s="14"/>
      <c r="GZ146" s="14"/>
      <c r="HA146" s="14"/>
      <c r="HB146" s="14"/>
      <c r="HC146" s="14"/>
      <c r="HD146" s="14"/>
      <c r="HE146" s="14"/>
      <c r="HF146" s="14"/>
      <c r="HG146" s="14"/>
      <c r="HH146" s="14"/>
      <c r="HI146" s="14"/>
      <c r="HJ146" s="14"/>
      <c r="HK146" s="14"/>
      <c r="HL146" s="14"/>
      <c r="HM146" s="14"/>
      <c r="HN146" s="14"/>
      <c r="HO146" s="14"/>
      <c r="HP146" s="14"/>
      <c r="HQ146" s="14"/>
      <c r="HR146" s="14"/>
      <c r="HS146" s="14"/>
      <c r="HT146" s="14"/>
      <c r="HU146" s="14"/>
      <c r="HV146" s="14"/>
      <c r="HW146" s="14"/>
      <c r="HX146" s="14"/>
      <c r="HY146" s="14"/>
      <c r="HZ146" s="14"/>
      <c r="IA146" s="14"/>
      <c r="IB146" s="14"/>
      <c r="IC146" s="14"/>
      <c r="ID146" s="14"/>
      <c r="IE146" s="14"/>
      <c r="IF146" s="14"/>
      <c r="IG146" s="14"/>
      <c r="IH146" s="14"/>
      <c r="II146" s="14"/>
      <c r="IJ146" s="14"/>
      <c r="IK146" s="14"/>
      <c r="IL146" s="14"/>
      <c r="IM146" s="14"/>
      <c r="IN146" s="14"/>
      <c r="IO146" s="14"/>
      <c r="IP146" s="14"/>
      <c r="IQ146" s="14"/>
      <c r="IR146" s="14"/>
      <c r="IS146" s="14"/>
      <c r="IT146" s="14"/>
      <c r="IU146" s="14"/>
      <c r="IV146" s="14"/>
      <c r="IW146" s="14"/>
      <c r="IX146" s="14"/>
      <c r="IY146" s="14"/>
      <c r="IZ146" s="14"/>
      <c r="JA146" s="14"/>
      <c r="JB146" s="14"/>
      <c r="JC146" s="14"/>
      <c r="JD146" s="14"/>
      <c r="JE146" s="14"/>
      <c r="JF146" s="14"/>
      <c r="JG146" s="14"/>
      <c r="JH146" s="14"/>
      <c r="JI146" s="14"/>
      <c r="JJ146" s="14"/>
      <c r="JK146" s="14"/>
      <c r="JL146" s="14"/>
      <c r="JM146" s="14"/>
      <c r="JN146" s="14"/>
      <c r="JO146" s="14"/>
      <c r="JP146" s="14"/>
      <c r="JQ146" s="14"/>
      <c r="JR146" s="14"/>
      <c r="JS146" s="14"/>
      <c r="JT146" s="14"/>
      <c r="JU146" s="14"/>
      <c r="JV146" s="14"/>
      <c r="JW146" s="14"/>
      <c r="JX146" s="14"/>
      <c r="JY146" s="14"/>
      <c r="JZ146" s="14"/>
      <c r="KA146" s="14"/>
      <c r="KB146" s="14"/>
      <c r="KC146" s="14"/>
      <c r="KD146" s="14"/>
      <c r="KE146" s="14"/>
      <c r="KF146" s="14"/>
      <c r="KG146" s="14"/>
      <c r="KH146" s="14"/>
      <c r="KI146" s="14"/>
      <c r="KJ146" s="14"/>
      <c r="KK146" s="14"/>
      <c r="KL146" s="14"/>
      <c r="KM146" s="14"/>
      <c r="KN146" s="14"/>
      <c r="KO146" s="14"/>
      <c r="KP146" s="14"/>
      <c r="KQ146" s="14"/>
      <c r="KR146" s="14"/>
      <c r="KS146" s="14"/>
      <c r="KT146" s="14"/>
      <c r="KU146" s="14"/>
      <c r="KV146" s="14"/>
      <c r="KW146" s="14"/>
      <c r="KX146" s="14"/>
      <c r="KY146" s="14"/>
      <c r="KZ146" s="14"/>
      <c r="LA146" s="14"/>
      <c r="LB146" s="14"/>
      <c r="LC146" s="14"/>
      <c r="LD146" s="14"/>
      <c r="LE146" s="14"/>
      <c r="LF146" s="14"/>
      <c r="LG146" s="14"/>
      <c r="LH146" s="14"/>
      <c r="LI146" s="14"/>
      <c r="LJ146" s="14"/>
      <c r="LK146" s="14"/>
      <c r="LL146" s="14"/>
      <c r="LM146" s="14"/>
      <c r="LN146" s="14"/>
      <c r="LO146" s="14"/>
      <c r="LP146" s="14"/>
      <c r="LQ146" s="14"/>
      <c r="LR146" s="14"/>
      <c r="LS146" s="14"/>
      <c r="LT146" s="14"/>
      <c r="LU146" s="14"/>
      <c r="LV146" s="14"/>
      <c r="LW146" s="14"/>
      <c r="LX146" s="14"/>
      <c r="LY146" s="14"/>
      <c r="LZ146" s="14"/>
      <c r="MA146" s="14"/>
      <c r="MB146" s="14"/>
      <c r="MC146" s="14"/>
      <c r="MD146" s="14"/>
      <c r="ME146" s="14"/>
      <c r="MF146" s="14"/>
      <c r="MG146" s="14"/>
      <c r="MH146" s="14"/>
      <c r="MI146" s="14"/>
      <c r="MJ146" s="14"/>
      <c r="MK146" s="14"/>
      <c r="ML146" s="14"/>
      <c r="MM146" s="14"/>
      <c r="MN146" s="14"/>
      <c r="MO146" s="14"/>
      <c r="MP146" s="14"/>
      <c r="MQ146" s="14"/>
      <c r="MR146" s="14"/>
      <c r="MS146" s="14"/>
      <c r="MT146" s="14"/>
      <c r="MU146" s="14"/>
      <c r="MV146" s="14"/>
      <c r="MW146" s="14"/>
      <c r="MX146" s="14"/>
      <c r="MY146" s="14"/>
      <c r="MZ146" s="14"/>
      <c r="NA146" s="14"/>
      <c r="NB146" s="14"/>
      <c r="NC146" s="14"/>
      <c r="ND146" s="14"/>
      <c r="NE146" s="14"/>
      <c r="NF146" s="14"/>
      <c r="NG146" s="14"/>
      <c r="NH146" s="14"/>
      <c r="NI146" s="14"/>
      <c r="NJ146" s="14"/>
      <c r="NK146" s="14"/>
      <c r="NL146" s="14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</row>
    <row r="147" ht="13.5" customHeight="1">
      <c r="A147" s="2"/>
      <c r="B147" s="22"/>
      <c r="C147" s="2"/>
      <c r="D147" s="13"/>
      <c r="E147" s="3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4"/>
      <c r="FJ147" s="14"/>
      <c r="FK147" s="14"/>
      <c r="FL147" s="14"/>
      <c r="FM147" s="14"/>
      <c r="FN147" s="14"/>
      <c r="FO147" s="14"/>
      <c r="FP147" s="14"/>
      <c r="FQ147" s="14"/>
      <c r="FR147" s="14"/>
      <c r="FS147" s="14"/>
      <c r="FT147" s="14"/>
      <c r="FU147" s="14"/>
      <c r="FV147" s="14"/>
      <c r="FW147" s="14"/>
      <c r="FX147" s="14"/>
      <c r="FY147" s="14"/>
      <c r="FZ147" s="14"/>
      <c r="GA147" s="14"/>
      <c r="GB147" s="14"/>
      <c r="GC147" s="14"/>
      <c r="GD147" s="14"/>
      <c r="GE147" s="14"/>
      <c r="GF147" s="14"/>
      <c r="GG147" s="14"/>
      <c r="GH147" s="14"/>
      <c r="GI147" s="14"/>
      <c r="GJ147" s="14"/>
      <c r="GK147" s="14"/>
      <c r="GL147" s="14"/>
      <c r="GM147" s="14"/>
      <c r="GN147" s="14"/>
      <c r="GO147" s="14"/>
      <c r="GP147" s="14"/>
      <c r="GQ147" s="14"/>
      <c r="GR147" s="14"/>
      <c r="GS147" s="14"/>
      <c r="GT147" s="14"/>
      <c r="GU147" s="14"/>
      <c r="GV147" s="14"/>
      <c r="GW147" s="14"/>
      <c r="GX147" s="14"/>
      <c r="GY147" s="14"/>
      <c r="GZ147" s="14"/>
      <c r="HA147" s="14"/>
      <c r="HB147" s="14"/>
      <c r="HC147" s="14"/>
      <c r="HD147" s="14"/>
      <c r="HE147" s="14"/>
      <c r="HF147" s="14"/>
      <c r="HG147" s="14"/>
      <c r="HH147" s="14"/>
      <c r="HI147" s="14"/>
      <c r="HJ147" s="14"/>
      <c r="HK147" s="14"/>
      <c r="HL147" s="14"/>
      <c r="HM147" s="14"/>
      <c r="HN147" s="14"/>
      <c r="HO147" s="14"/>
      <c r="HP147" s="14"/>
      <c r="HQ147" s="14"/>
      <c r="HR147" s="14"/>
      <c r="HS147" s="14"/>
      <c r="HT147" s="14"/>
      <c r="HU147" s="14"/>
      <c r="HV147" s="14"/>
      <c r="HW147" s="14"/>
      <c r="HX147" s="14"/>
      <c r="HY147" s="14"/>
      <c r="HZ147" s="14"/>
      <c r="IA147" s="14"/>
      <c r="IB147" s="14"/>
      <c r="IC147" s="14"/>
      <c r="ID147" s="14"/>
      <c r="IE147" s="14"/>
      <c r="IF147" s="14"/>
      <c r="IG147" s="14"/>
      <c r="IH147" s="14"/>
      <c r="II147" s="14"/>
      <c r="IJ147" s="14"/>
      <c r="IK147" s="14"/>
      <c r="IL147" s="14"/>
      <c r="IM147" s="14"/>
      <c r="IN147" s="14"/>
      <c r="IO147" s="14"/>
      <c r="IP147" s="14"/>
      <c r="IQ147" s="14"/>
      <c r="IR147" s="14"/>
      <c r="IS147" s="14"/>
      <c r="IT147" s="14"/>
      <c r="IU147" s="14"/>
      <c r="IV147" s="14"/>
      <c r="IW147" s="14"/>
      <c r="IX147" s="14"/>
      <c r="IY147" s="14"/>
      <c r="IZ147" s="14"/>
      <c r="JA147" s="14"/>
      <c r="JB147" s="14"/>
      <c r="JC147" s="14"/>
      <c r="JD147" s="14"/>
      <c r="JE147" s="14"/>
      <c r="JF147" s="14"/>
      <c r="JG147" s="14"/>
      <c r="JH147" s="14"/>
      <c r="JI147" s="14"/>
      <c r="JJ147" s="14"/>
      <c r="JK147" s="14"/>
      <c r="JL147" s="14"/>
      <c r="JM147" s="14"/>
      <c r="JN147" s="14"/>
      <c r="JO147" s="14"/>
      <c r="JP147" s="14"/>
      <c r="JQ147" s="14"/>
      <c r="JR147" s="14"/>
      <c r="JS147" s="14"/>
      <c r="JT147" s="14"/>
      <c r="JU147" s="14"/>
      <c r="JV147" s="14"/>
      <c r="JW147" s="14"/>
      <c r="JX147" s="14"/>
      <c r="JY147" s="14"/>
      <c r="JZ147" s="14"/>
      <c r="KA147" s="14"/>
      <c r="KB147" s="14"/>
      <c r="KC147" s="14"/>
      <c r="KD147" s="14"/>
      <c r="KE147" s="14"/>
      <c r="KF147" s="14"/>
      <c r="KG147" s="14"/>
      <c r="KH147" s="14"/>
      <c r="KI147" s="14"/>
      <c r="KJ147" s="14"/>
      <c r="KK147" s="14"/>
      <c r="KL147" s="14"/>
      <c r="KM147" s="14"/>
      <c r="KN147" s="14"/>
      <c r="KO147" s="14"/>
      <c r="KP147" s="14"/>
      <c r="KQ147" s="14"/>
      <c r="KR147" s="14"/>
      <c r="KS147" s="14"/>
      <c r="KT147" s="14"/>
      <c r="KU147" s="14"/>
      <c r="KV147" s="14"/>
      <c r="KW147" s="14"/>
      <c r="KX147" s="14"/>
      <c r="KY147" s="14"/>
      <c r="KZ147" s="14"/>
      <c r="LA147" s="14"/>
      <c r="LB147" s="14"/>
      <c r="LC147" s="14"/>
      <c r="LD147" s="14"/>
      <c r="LE147" s="14"/>
      <c r="LF147" s="14"/>
      <c r="LG147" s="14"/>
      <c r="LH147" s="14"/>
      <c r="LI147" s="14"/>
      <c r="LJ147" s="14"/>
      <c r="LK147" s="14"/>
      <c r="LL147" s="14"/>
      <c r="LM147" s="14"/>
      <c r="LN147" s="14"/>
      <c r="LO147" s="14"/>
      <c r="LP147" s="14"/>
      <c r="LQ147" s="14"/>
      <c r="LR147" s="14"/>
      <c r="LS147" s="14"/>
      <c r="LT147" s="14"/>
      <c r="LU147" s="14"/>
      <c r="LV147" s="14"/>
      <c r="LW147" s="14"/>
      <c r="LX147" s="14"/>
      <c r="LY147" s="14"/>
      <c r="LZ147" s="14"/>
      <c r="MA147" s="14"/>
      <c r="MB147" s="14"/>
      <c r="MC147" s="14"/>
      <c r="MD147" s="14"/>
      <c r="ME147" s="14"/>
      <c r="MF147" s="14"/>
      <c r="MG147" s="14"/>
      <c r="MH147" s="14"/>
      <c r="MI147" s="14"/>
      <c r="MJ147" s="14"/>
      <c r="MK147" s="14"/>
      <c r="ML147" s="14"/>
      <c r="MM147" s="14"/>
      <c r="MN147" s="14"/>
      <c r="MO147" s="14"/>
      <c r="MP147" s="14"/>
      <c r="MQ147" s="14"/>
      <c r="MR147" s="14"/>
      <c r="MS147" s="14"/>
      <c r="MT147" s="14"/>
      <c r="MU147" s="14"/>
      <c r="MV147" s="14"/>
      <c r="MW147" s="14"/>
      <c r="MX147" s="14"/>
      <c r="MY147" s="14"/>
      <c r="MZ147" s="14"/>
      <c r="NA147" s="14"/>
      <c r="NB147" s="14"/>
      <c r="NC147" s="14"/>
      <c r="ND147" s="14"/>
      <c r="NE147" s="14"/>
      <c r="NF147" s="14"/>
      <c r="NG147" s="14"/>
      <c r="NH147" s="14"/>
      <c r="NI147" s="14"/>
      <c r="NJ147" s="14"/>
      <c r="NK147" s="14"/>
      <c r="NL147" s="14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</row>
    <row r="148" ht="13.5" customHeight="1">
      <c r="A148" s="2"/>
      <c r="B148" s="22"/>
      <c r="C148" s="2"/>
      <c r="D148" s="13"/>
      <c r="E148" s="3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  <c r="EM148" s="14"/>
      <c r="EN148" s="14"/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4"/>
      <c r="FJ148" s="14"/>
      <c r="FK148" s="14"/>
      <c r="FL148" s="14"/>
      <c r="FM148" s="14"/>
      <c r="FN148" s="14"/>
      <c r="FO148" s="14"/>
      <c r="FP148" s="14"/>
      <c r="FQ148" s="14"/>
      <c r="FR148" s="14"/>
      <c r="FS148" s="14"/>
      <c r="FT148" s="14"/>
      <c r="FU148" s="14"/>
      <c r="FV148" s="14"/>
      <c r="FW148" s="14"/>
      <c r="FX148" s="14"/>
      <c r="FY148" s="14"/>
      <c r="FZ148" s="14"/>
      <c r="GA148" s="14"/>
      <c r="GB148" s="14"/>
      <c r="GC148" s="14"/>
      <c r="GD148" s="14"/>
      <c r="GE148" s="14"/>
      <c r="GF148" s="14"/>
      <c r="GG148" s="14"/>
      <c r="GH148" s="14"/>
      <c r="GI148" s="14"/>
      <c r="GJ148" s="14"/>
      <c r="GK148" s="14"/>
      <c r="GL148" s="14"/>
      <c r="GM148" s="14"/>
      <c r="GN148" s="14"/>
      <c r="GO148" s="14"/>
      <c r="GP148" s="14"/>
      <c r="GQ148" s="14"/>
      <c r="GR148" s="14"/>
      <c r="GS148" s="14"/>
      <c r="GT148" s="14"/>
      <c r="GU148" s="14"/>
      <c r="GV148" s="14"/>
      <c r="GW148" s="14"/>
      <c r="GX148" s="14"/>
      <c r="GY148" s="14"/>
      <c r="GZ148" s="14"/>
      <c r="HA148" s="14"/>
      <c r="HB148" s="14"/>
      <c r="HC148" s="14"/>
      <c r="HD148" s="14"/>
      <c r="HE148" s="14"/>
      <c r="HF148" s="14"/>
      <c r="HG148" s="14"/>
      <c r="HH148" s="14"/>
      <c r="HI148" s="14"/>
      <c r="HJ148" s="14"/>
      <c r="HK148" s="14"/>
      <c r="HL148" s="14"/>
      <c r="HM148" s="14"/>
      <c r="HN148" s="14"/>
      <c r="HO148" s="14"/>
      <c r="HP148" s="14"/>
      <c r="HQ148" s="14"/>
      <c r="HR148" s="14"/>
      <c r="HS148" s="14"/>
      <c r="HT148" s="14"/>
      <c r="HU148" s="14"/>
      <c r="HV148" s="14"/>
      <c r="HW148" s="14"/>
      <c r="HX148" s="14"/>
      <c r="HY148" s="14"/>
      <c r="HZ148" s="14"/>
      <c r="IA148" s="14"/>
      <c r="IB148" s="14"/>
      <c r="IC148" s="14"/>
      <c r="ID148" s="14"/>
      <c r="IE148" s="14"/>
      <c r="IF148" s="14"/>
      <c r="IG148" s="14"/>
      <c r="IH148" s="14"/>
      <c r="II148" s="14"/>
      <c r="IJ148" s="14"/>
      <c r="IK148" s="14"/>
      <c r="IL148" s="14"/>
      <c r="IM148" s="14"/>
      <c r="IN148" s="14"/>
      <c r="IO148" s="14"/>
      <c r="IP148" s="14"/>
      <c r="IQ148" s="14"/>
      <c r="IR148" s="14"/>
      <c r="IS148" s="14"/>
      <c r="IT148" s="14"/>
      <c r="IU148" s="14"/>
      <c r="IV148" s="14"/>
      <c r="IW148" s="14"/>
      <c r="IX148" s="14"/>
      <c r="IY148" s="14"/>
      <c r="IZ148" s="14"/>
      <c r="JA148" s="14"/>
      <c r="JB148" s="14"/>
      <c r="JC148" s="14"/>
      <c r="JD148" s="14"/>
      <c r="JE148" s="14"/>
      <c r="JF148" s="14"/>
      <c r="JG148" s="14"/>
      <c r="JH148" s="14"/>
      <c r="JI148" s="14"/>
      <c r="JJ148" s="14"/>
      <c r="JK148" s="14"/>
      <c r="JL148" s="14"/>
      <c r="JM148" s="14"/>
      <c r="JN148" s="14"/>
      <c r="JO148" s="14"/>
      <c r="JP148" s="14"/>
      <c r="JQ148" s="14"/>
      <c r="JR148" s="14"/>
      <c r="JS148" s="14"/>
      <c r="JT148" s="14"/>
      <c r="JU148" s="14"/>
      <c r="JV148" s="14"/>
      <c r="JW148" s="14"/>
      <c r="JX148" s="14"/>
      <c r="JY148" s="14"/>
      <c r="JZ148" s="14"/>
      <c r="KA148" s="14"/>
      <c r="KB148" s="14"/>
      <c r="KC148" s="14"/>
      <c r="KD148" s="14"/>
      <c r="KE148" s="14"/>
      <c r="KF148" s="14"/>
      <c r="KG148" s="14"/>
      <c r="KH148" s="14"/>
      <c r="KI148" s="14"/>
      <c r="KJ148" s="14"/>
      <c r="KK148" s="14"/>
      <c r="KL148" s="14"/>
      <c r="KM148" s="14"/>
      <c r="KN148" s="14"/>
      <c r="KO148" s="14"/>
      <c r="KP148" s="14"/>
      <c r="KQ148" s="14"/>
      <c r="KR148" s="14"/>
      <c r="KS148" s="14"/>
      <c r="KT148" s="14"/>
      <c r="KU148" s="14"/>
      <c r="KV148" s="14"/>
      <c r="KW148" s="14"/>
      <c r="KX148" s="14"/>
      <c r="KY148" s="14"/>
      <c r="KZ148" s="14"/>
      <c r="LA148" s="14"/>
      <c r="LB148" s="14"/>
      <c r="LC148" s="14"/>
      <c r="LD148" s="14"/>
      <c r="LE148" s="14"/>
      <c r="LF148" s="14"/>
      <c r="LG148" s="14"/>
      <c r="LH148" s="14"/>
      <c r="LI148" s="14"/>
      <c r="LJ148" s="14"/>
      <c r="LK148" s="14"/>
      <c r="LL148" s="14"/>
      <c r="LM148" s="14"/>
      <c r="LN148" s="14"/>
      <c r="LO148" s="14"/>
      <c r="LP148" s="14"/>
      <c r="LQ148" s="14"/>
      <c r="LR148" s="14"/>
      <c r="LS148" s="14"/>
      <c r="LT148" s="14"/>
      <c r="LU148" s="14"/>
      <c r="LV148" s="14"/>
      <c r="LW148" s="14"/>
      <c r="LX148" s="14"/>
      <c r="LY148" s="14"/>
      <c r="LZ148" s="14"/>
      <c r="MA148" s="14"/>
      <c r="MB148" s="14"/>
      <c r="MC148" s="14"/>
      <c r="MD148" s="14"/>
      <c r="ME148" s="14"/>
      <c r="MF148" s="14"/>
      <c r="MG148" s="14"/>
      <c r="MH148" s="14"/>
      <c r="MI148" s="14"/>
      <c r="MJ148" s="14"/>
      <c r="MK148" s="14"/>
      <c r="ML148" s="14"/>
      <c r="MM148" s="14"/>
      <c r="MN148" s="14"/>
      <c r="MO148" s="14"/>
      <c r="MP148" s="14"/>
      <c r="MQ148" s="14"/>
      <c r="MR148" s="14"/>
      <c r="MS148" s="14"/>
      <c r="MT148" s="14"/>
      <c r="MU148" s="14"/>
      <c r="MV148" s="14"/>
      <c r="MW148" s="14"/>
      <c r="MX148" s="14"/>
      <c r="MY148" s="14"/>
      <c r="MZ148" s="14"/>
      <c r="NA148" s="14"/>
      <c r="NB148" s="14"/>
      <c r="NC148" s="14"/>
      <c r="ND148" s="14"/>
      <c r="NE148" s="14"/>
      <c r="NF148" s="14"/>
      <c r="NG148" s="14"/>
      <c r="NH148" s="14"/>
      <c r="NI148" s="14"/>
      <c r="NJ148" s="14"/>
      <c r="NK148" s="14"/>
      <c r="NL148" s="14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</row>
    <row r="149" ht="13.5" customHeight="1">
      <c r="A149" s="2"/>
      <c r="B149" s="22"/>
      <c r="C149" s="2"/>
      <c r="D149" s="13"/>
      <c r="E149" s="3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4"/>
      <c r="FJ149" s="14"/>
      <c r="FK149" s="14"/>
      <c r="FL149" s="14"/>
      <c r="FM149" s="14"/>
      <c r="FN149" s="14"/>
      <c r="FO149" s="14"/>
      <c r="FP149" s="14"/>
      <c r="FQ149" s="14"/>
      <c r="FR149" s="14"/>
      <c r="FS149" s="14"/>
      <c r="FT149" s="14"/>
      <c r="FU149" s="14"/>
      <c r="FV149" s="14"/>
      <c r="FW149" s="14"/>
      <c r="FX149" s="14"/>
      <c r="FY149" s="14"/>
      <c r="FZ149" s="14"/>
      <c r="GA149" s="14"/>
      <c r="GB149" s="14"/>
      <c r="GC149" s="14"/>
      <c r="GD149" s="14"/>
      <c r="GE149" s="14"/>
      <c r="GF149" s="14"/>
      <c r="GG149" s="14"/>
      <c r="GH149" s="14"/>
      <c r="GI149" s="14"/>
      <c r="GJ149" s="14"/>
      <c r="GK149" s="14"/>
      <c r="GL149" s="14"/>
      <c r="GM149" s="14"/>
      <c r="GN149" s="14"/>
      <c r="GO149" s="14"/>
      <c r="GP149" s="14"/>
      <c r="GQ149" s="14"/>
      <c r="GR149" s="14"/>
      <c r="GS149" s="14"/>
      <c r="GT149" s="14"/>
      <c r="GU149" s="14"/>
      <c r="GV149" s="14"/>
      <c r="GW149" s="14"/>
      <c r="GX149" s="14"/>
      <c r="GY149" s="14"/>
      <c r="GZ149" s="14"/>
      <c r="HA149" s="14"/>
      <c r="HB149" s="14"/>
      <c r="HC149" s="14"/>
      <c r="HD149" s="14"/>
      <c r="HE149" s="14"/>
      <c r="HF149" s="14"/>
      <c r="HG149" s="14"/>
      <c r="HH149" s="14"/>
      <c r="HI149" s="14"/>
      <c r="HJ149" s="14"/>
      <c r="HK149" s="14"/>
      <c r="HL149" s="14"/>
      <c r="HM149" s="14"/>
      <c r="HN149" s="14"/>
      <c r="HO149" s="14"/>
      <c r="HP149" s="14"/>
      <c r="HQ149" s="14"/>
      <c r="HR149" s="14"/>
      <c r="HS149" s="14"/>
      <c r="HT149" s="14"/>
      <c r="HU149" s="14"/>
      <c r="HV149" s="14"/>
      <c r="HW149" s="14"/>
      <c r="HX149" s="14"/>
      <c r="HY149" s="14"/>
      <c r="HZ149" s="14"/>
      <c r="IA149" s="14"/>
      <c r="IB149" s="14"/>
      <c r="IC149" s="14"/>
      <c r="ID149" s="14"/>
      <c r="IE149" s="14"/>
      <c r="IF149" s="14"/>
      <c r="IG149" s="14"/>
      <c r="IH149" s="14"/>
      <c r="II149" s="14"/>
      <c r="IJ149" s="14"/>
      <c r="IK149" s="14"/>
      <c r="IL149" s="14"/>
      <c r="IM149" s="14"/>
      <c r="IN149" s="14"/>
      <c r="IO149" s="14"/>
      <c r="IP149" s="14"/>
      <c r="IQ149" s="14"/>
      <c r="IR149" s="14"/>
      <c r="IS149" s="14"/>
      <c r="IT149" s="14"/>
      <c r="IU149" s="14"/>
      <c r="IV149" s="14"/>
      <c r="IW149" s="14"/>
      <c r="IX149" s="14"/>
      <c r="IY149" s="14"/>
      <c r="IZ149" s="14"/>
      <c r="JA149" s="14"/>
      <c r="JB149" s="14"/>
      <c r="JC149" s="14"/>
      <c r="JD149" s="14"/>
      <c r="JE149" s="14"/>
      <c r="JF149" s="14"/>
      <c r="JG149" s="14"/>
      <c r="JH149" s="14"/>
      <c r="JI149" s="14"/>
      <c r="JJ149" s="14"/>
      <c r="JK149" s="14"/>
      <c r="JL149" s="14"/>
      <c r="JM149" s="14"/>
      <c r="JN149" s="14"/>
      <c r="JO149" s="14"/>
      <c r="JP149" s="14"/>
      <c r="JQ149" s="14"/>
      <c r="JR149" s="14"/>
      <c r="JS149" s="14"/>
      <c r="JT149" s="14"/>
      <c r="JU149" s="14"/>
      <c r="JV149" s="14"/>
      <c r="JW149" s="14"/>
      <c r="JX149" s="14"/>
      <c r="JY149" s="14"/>
      <c r="JZ149" s="14"/>
      <c r="KA149" s="14"/>
      <c r="KB149" s="14"/>
      <c r="KC149" s="14"/>
      <c r="KD149" s="14"/>
      <c r="KE149" s="14"/>
      <c r="KF149" s="14"/>
      <c r="KG149" s="14"/>
      <c r="KH149" s="14"/>
      <c r="KI149" s="14"/>
      <c r="KJ149" s="14"/>
      <c r="KK149" s="14"/>
      <c r="KL149" s="14"/>
      <c r="KM149" s="14"/>
      <c r="KN149" s="14"/>
      <c r="KO149" s="14"/>
      <c r="KP149" s="14"/>
      <c r="KQ149" s="14"/>
      <c r="KR149" s="14"/>
      <c r="KS149" s="14"/>
      <c r="KT149" s="14"/>
      <c r="KU149" s="14"/>
      <c r="KV149" s="14"/>
      <c r="KW149" s="14"/>
      <c r="KX149" s="14"/>
      <c r="KY149" s="14"/>
      <c r="KZ149" s="14"/>
      <c r="LA149" s="14"/>
      <c r="LB149" s="14"/>
      <c r="LC149" s="14"/>
      <c r="LD149" s="14"/>
      <c r="LE149" s="14"/>
      <c r="LF149" s="14"/>
      <c r="LG149" s="14"/>
      <c r="LH149" s="14"/>
      <c r="LI149" s="14"/>
      <c r="LJ149" s="14"/>
      <c r="LK149" s="14"/>
      <c r="LL149" s="14"/>
      <c r="LM149" s="14"/>
      <c r="LN149" s="14"/>
      <c r="LO149" s="14"/>
      <c r="LP149" s="14"/>
      <c r="LQ149" s="14"/>
      <c r="LR149" s="14"/>
      <c r="LS149" s="14"/>
      <c r="LT149" s="14"/>
      <c r="LU149" s="14"/>
      <c r="LV149" s="14"/>
      <c r="LW149" s="14"/>
      <c r="LX149" s="14"/>
      <c r="LY149" s="14"/>
      <c r="LZ149" s="14"/>
      <c r="MA149" s="14"/>
      <c r="MB149" s="14"/>
      <c r="MC149" s="14"/>
      <c r="MD149" s="14"/>
      <c r="ME149" s="14"/>
      <c r="MF149" s="14"/>
      <c r="MG149" s="14"/>
      <c r="MH149" s="14"/>
      <c r="MI149" s="14"/>
      <c r="MJ149" s="14"/>
      <c r="MK149" s="14"/>
      <c r="ML149" s="14"/>
      <c r="MM149" s="14"/>
      <c r="MN149" s="14"/>
      <c r="MO149" s="14"/>
      <c r="MP149" s="14"/>
      <c r="MQ149" s="14"/>
      <c r="MR149" s="14"/>
      <c r="MS149" s="14"/>
      <c r="MT149" s="14"/>
      <c r="MU149" s="14"/>
      <c r="MV149" s="14"/>
      <c r="MW149" s="14"/>
      <c r="MX149" s="14"/>
      <c r="MY149" s="14"/>
      <c r="MZ149" s="14"/>
      <c r="NA149" s="14"/>
      <c r="NB149" s="14"/>
      <c r="NC149" s="14"/>
      <c r="ND149" s="14"/>
      <c r="NE149" s="14"/>
      <c r="NF149" s="14"/>
      <c r="NG149" s="14"/>
      <c r="NH149" s="14"/>
      <c r="NI149" s="14"/>
      <c r="NJ149" s="14"/>
      <c r="NK149" s="14"/>
      <c r="NL149" s="14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</row>
    <row r="150" ht="13.5" customHeight="1">
      <c r="A150" s="2"/>
      <c r="B150" s="22"/>
      <c r="C150" s="2"/>
      <c r="D150" s="13"/>
      <c r="E150" s="3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  <c r="ED150" s="14"/>
      <c r="EE150" s="14"/>
      <c r="EF150" s="14"/>
      <c r="EG150" s="14"/>
      <c r="EH150" s="14"/>
      <c r="EI150" s="14"/>
      <c r="EJ150" s="14"/>
      <c r="EK150" s="14"/>
      <c r="EL150" s="14"/>
      <c r="EM150" s="14"/>
      <c r="EN150" s="14"/>
      <c r="EO150" s="14"/>
      <c r="EP150" s="14"/>
      <c r="EQ150" s="14"/>
      <c r="ER150" s="14"/>
      <c r="ES150" s="14"/>
      <c r="ET150" s="14"/>
      <c r="EU150" s="14"/>
      <c r="EV150" s="14"/>
      <c r="EW150" s="14"/>
      <c r="EX150" s="14"/>
      <c r="EY150" s="14"/>
      <c r="EZ150" s="14"/>
      <c r="FA150" s="14"/>
      <c r="FB150" s="14"/>
      <c r="FC150" s="14"/>
      <c r="FD150" s="14"/>
      <c r="FE150" s="14"/>
      <c r="FF150" s="14"/>
      <c r="FG150" s="14"/>
      <c r="FH150" s="14"/>
      <c r="FI150" s="14"/>
      <c r="FJ150" s="14"/>
      <c r="FK150" s="14"/>
      <c r="FL150" s="14"/>
      <c r="FM150" s="14"/>
      <c r="FN150" s="14"/>
      <c r="FO150" s="14"/>
      <c r="FP150" s="14"/>
      <c r="FQ150" s="14"/>
      <c r="FR150" s="14"/>
      <c r="FS150" s="14"/>
      <c r="FT150" s="14"/>
      <c r="FU150" s="14"/>
      <c r="FV150" s="14"/>
      <c r="FW150" s="14"/>
      <c r="FX150" s="14"/>
      <c r="FY150" s="14"/>
      <c r="FZ150" s="14"/>
      <c r="GA150" s="14"/>
      <c r="GB150" s="14"/>
      <c r="GC150" s="14"/>
      <c r="GD150" s="14"/>
      <c r="GE150" s="14"/>
      <c r="GF150" s="14"/>
      <c r="GG150" s="14"/>
      <c r="GH150" s="14"/>
      <c r="GI150" s="14"/>
      <c r="GJ150" s="14"/>
      <c r="GK150" s="14"/>
      <c r="GL150" s="14"/>
      <c r="GM150" s="14"/>
      <c r="GN150" s="14"/>
      <c r="GO150" s="14"/>
      <c r="GP150" s="14"/>
      <c r="GQ150" s="14"/>
      <c r="GR150" s="14"/>
      <c r="GS150" s="14"/>
      <c r="GT150" s="14"/>
      <c r="GU150" s="14"/>
      <c r="GV150" s="14"/>
      <c r="GW150" s="14"/>
      <c r="GX150" s="14"/>
      <c r="GY150" s="14"/>
      <c r="GZ150" s="14"/>
      <c r="HA150" s="14"/>
      <c r="HB150" s="14"/>
      <c r="HC150" s="14"/>
      <c r="HD150" s="14"/>
      <c r="HE150" s="14"/>
      <c r="HF150" s="14"/>
      <c r="HG150" s="14"/>
      <c r="HH150" s="14"/>
      <c r="HI150" s="14"/>
      <c r="HJ150" s="14"/>
      <c r="HK150" s="14"/>
      <c r="HL150" s="14"/>
      <c r="HM150" s="14"/>
      <c r="HN150" s="14"/>
      <c r="HO150" s="14"/>
      <c r="HP150" s="14"/>
      <c r="HQ150" s="14"/>
      <c r="HR150" s="14"/>
      <c r="HS150" s="14"/>
      <c r="HT150" s="14"/>
      <c r="HU150" s="14"/>
      <c r="HV150" s="14"/>
      <c r="HW150" s="14"/>
      <c r="HX150" s="14"/>
      <c r="HY150" s="14"/>
      <c r="HZ150" s="14"/>
      <c r="IA150" s="14"/>
      <c r="IB150" s="14"/>
      <c r="IC150" s="14"/>
      <c r="ID150" s="14"/>
      <c r="IE150" s="14"/>
      <c r="IF150" s="14"/>
      <c r="IG150" s="14"/>
      <c r="IH150" s="14"/>
      <c r="II150" s="14"/>
      <c r="IJ150" s="14"/>
      <c r="IK150" s="14"/>
      <c r="IL150" s="14"/>
      <c r="IM150" s="14"/>
      <c r="IN150" s="14"/>
      <c r="IO150" s="14"/>
      <c r="IP150" s="14"/>
      <c r="IQ150" s="14"/>
      <c r="IR150" s="14"/>
      <c r="IS150" s="14"/>
      <c r="IT150" s="14"/>
      <c r="IU150" s="14"/>
      <c r="IV150" s="14"/>
      <c r="IW150" s="14"/>
      <c r="IX150" s="14"/>
      <c r="IY150" s="14"/>
      <c r="IZ150" s="14"/>
      <c r="JA150" s="14"/>
      <c r="JB150" s="14"/>
      <c r="JC150" s="14"/>
      <c r="JD150" s="14"/>
      <c r="JE150" s="14"/>
      <c r="JF150" s="14"/>
      <c r="JG150" s="14"/>
      <c r="JH150" s="14"/>
      <c r="JI150" s="14"/>
      <c r="JJ150" s="14"/>
      <c r="JK150" s="14"/>
      <c r="JL150" s="14"/>
      <c r="JM150" s="14"/>
      <c r="JN150" s="14"/>
      <c r="JO150" s="14"/>
      <c r="JP150" s="14"/>
      <c r="JQ150" s="14"/>
      <c r="JR150" s="14"/>
      <c r="JS150" s="14"/>
      <c r="JT150" s="14"/>
      <c r="JU150" s="14"/>
      <c r="JV150" s="14"/>
      <c r="JW150" s="14"/>
      <c r="JX150" s="14"/>
      <c r="JY150" s="14"/>
      <c r="JZ150" s="14"/>
      <c r="KA150" s="14"/>
      <c r="KB150" s="14"/>
      <c r="KC150" s="14"/>
      <c r="KD150" s="14"/>
      <c r="KE150" s="14"/>
      <c r="KF150" s="14"/>
      <c r="KG150" s="14"/>
      <c r="KH150" s="14"/>
      <c r="KI150" s="14"/>
      <c r="KJ150" s="14"/>
      <c r="KK150" s="14"/>
      <c r="KL150" s="14"/>
      <c r="KM150" s="14"/>
      <c r="KN150" s="14"/>
      <c r="KO150" s="14"/>
      <c r="KP150" s="14"/>
      <c r="KQ150" s="14"/>
      <c r="KR150" s="14"/>
      <c r="KS150" s="14"/>
      <c r="KT150" s="14"/>
      <c r="KU150" s="14"/>
      <c r="KV150" s="14"/>
      <c r="KW150" s="14"/>
      <c r="KX150" s="14"/>
      <c r="KY150" s="14"/>
      <c r="KZ150" s="14"/>
      <c r="LA150" s="14"/>
      <c r="LB150" s="14"/>
      <c r="LC150" s="14"/>
      <c r="LD150" s="14"/>
      <c r="LE150" s="14"/>
      <c r="LF150" s="14"/>
      <c r="LG150" s="14"/>
      <c r="LH150" s="14"/>
      <c r="LI150" s="14"/>
      <c r="LJ150" s="14"/>
      <c r="LK150" s="14"/>
      <c r="LL150" s="14"/>
      <c r="LM150" s="14"/>
      <c r="LN150" s="14"/>
      <c r="LO150" s="14"/>
      <c r="LP150" s="14"/>
      <c r="LQ150" s="14"/>
      <c r="LR150" s="14"/>
      <c r="LS150" s="14"/>
      <c r="LT150" s="14"/>
      <c r="LU150" s="14"/>
      <c r="LV150" s="14"/>
      <c r="LW150" s="14"/>
      <c r="LX150" s="14"/>
      <c r="LY150" s="14"/>
      <c r="LZ150" s="14"/>
      <c r="MA150" s="14"/>
      <c r="MB150" s="14"/>
      <c r="MC150" s="14"/>
      <c r="MD150" s="14"/>
      <c r="ME150" s="14"/>
      <c r="MF150" s="14"/>
      <c r="MG150" s="14"/>
      <c r="MH150" s="14"/>
      <c r="MI150" s="14"/>
      <c r="MJ150" s="14"/>
      <c r="MK150" s="14"/>
      <c r="ML150" s="14"/>
      <c r="MM150" s="14"/>
      <c r="MN150" s="14"/>
      <c r="MO150" s="14"/>
      <c r="MP150" s="14"/>
      <c r="MQ150" s="14"/>
      <c r="MR150" s="14"/>
      <c r="MS150" s="14"/>
      <c r="MT150" s="14"/>
      <c r="MU150" s="14"/>
      <c r="MV150" s="14"/>
      <c r="MW150" s="14"/>
      <c r="MX150" s="14"/>
      <c r="MY150" s="14"/>
      <c r="MZ150" s="14"/>
      <c r="NA150" s="14"/>
      <c r="NB150" s="14"/>
      <c r="NC150" s="14"/>
      <c r="ND150" s="14"/>
      <c r="NE150" s="14"/>
      <c r="NF150" s="14"/>
      <c r="NG150" s="14"/>
      <c r="NH150" s="14"/>
      <c r="NI150" s="14"/>
      <c r="NJ150" s="14"/>
      <c r="NK150" s="14"/>
      <c r="NL150" s="14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</row>
    <row r="151" ht="13.5" customHeight="1">
      <c r="A151" s="2"/>
      <c r="B151" s="22"/>
      <c r="C151" s="2"/>
      <c r="D151" s="13"/>
      <c r="E151" s="3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  <c r="DM151" s="14"/>
      <c r="DN151" s="14"/>
      <c r="DO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4"/>
      <c r="EJ151" s="14"/>
      <c r="EK151" s="14"/>
      <c r="EL151" s="14"/>
      <c r="EM151" s="14"/>
      <c r="EN151" s="14"/>
      <c r="EO151" s="14"/>
      <c r="EP151" s="14"/>
      <c r="EQ151" s="14"/>
      <c r="ER151" s="14"/>
      <c r="ES151" s="14"/>
      <c r="ET151" s="14"/>
      <c r="EU151" s="14"/>
      <c r="EV151" s="14"/>
      <c r="EW151" s="14"/>
      <c r="EX151" s="14"/>
      <c r="EY151" s="14"/>
      <c r="EZ151" s="14"/>
      <c r="FA151" s="14"/>
      <c r="FB151" s="14"/>
      <c r="FC151" s="14"/>
      <c r="FD151" s="14"/>
      <c r="FE151" s="14"/>
      <c r="FF151" s="14"/>
      <c r="FG151" s="14"/>
      <c r="FH151" s="14"/>
      <c r="FI151" s="14"/>
      <c r="FJ151" s="14"/>
      <c r="FK151" s="14"/>
      <c r="FL151" s="14"/>
      <c r="FM151" s="14"/>
      <c r="FN151" s="14"/>
      <c r="FO151" s="14"/>
      <c r="FP151" s="14"/>
      <c r="FQ151" s="14"/>
      <c r="FR151" s="14"/>
      <c r="FS151" s="14"/>
      <c r="FT151" s="14"/>
      <c r="FU151" s="14"/>
      <c r="FV151" s="14"/>
      <c r="FW151" s="14"/>
      <c r="FX151" s="14"/>
      <c r="FY151" s="14"/>
      <c r="FZ151" s="14"/>
      <c r="GA151" s="14"/>
      <c r="GB151" s="14"/>
      <c r="GC151" s="14"/>
      <c r="GD151" s="14"/>
      <c r="GE151" s="14"/>
      <c r="GF151" s="14"/>
      <c r="GG151" s="14"/>
      <c r="GH151" s="14"/>
      <c r="GI151" s="14"/>
      <c r="GJ151" s="14"/>
      <c r="GK151" s="14"/>
      <c r="GL151" s="14"/>
      <c r="GM151" s="14"/>
      <c r="GN151" s="14"/>
      <c r="GO151" s="14"/>
      <c r="GP151" s="14"/>
      <c r="GQ151" s="14"/>
      <c r="GR151" s="14"/>
      <c r="GS151" s="14"/>
      <c r="GT151" s="14"/>
      <c r="GU151" s="14"/>
      <c r="GV151" s="14"/>
      <c r="GW151" s="14"/>
      <c r="GX151" s="14"/>
      <c r="GY151" s="14"/>
      <c r="GZ151" s="14"/>
      <c r="HA151" s="14"/>
      <c r="HB151" s="14"/>
      <c r="HC151" s="14"/>
      <c r="HD151" s="14"/>
      <c r="HE151" s="14"/>
      <c r="HF151" s="14"/>
      <c r="HG151" s="14"/>
      <c r="HH151" s="14"/>
      <c r="HI151" s="14"/>
      <c r="HJ151" s="14"/>
      <c r="HK151" s="14"/>
      <c r="HL151" s="14"/>
      <c r="HM151" s="14"/>
      <c r="HN151" s="14"/>
      <c r="HO151" s="14"/>
      <c r="HP151" s="14"/>
      <c r="HQ151" s="14"/>
      <c r="HR151" s="14"/>
      <c r="HS151" s="14"/>
      <c r="HT151" s="14"/>
      <c r="HU151" s="14"/>
      <c r="HV151" s="14"/>
      <c r="HW151" s="14"/>
      <c r="HX151" s="14"/>
      <c r="HY151" s="14"/>
      <c r="HZ151" s="14"/>
      <c r="IA151" s="14"/>
      <c r="IB151" s="14"/>
      <c r="IC151" s="14"/>
      <c r="ID151" s="14"/>
      <c r="IE151" s="14"/>
      <c r="IF151" s="14"/>
      <c r="IG151" s="14"/>
      <c r="IH151" s="14"/>
      <c r="II151" s="14"/>
      <c r="IJ151" s="14"/>
      <c r="IK151" s="14"/>
      <c r="IL151" s="14"/>
      <c r="IM151" s="14"/>
      <c r="IN151" s="14"/>
      <c r="IO151" s="14"/>
      <c r="IP151" s="14"/>
      <c r="IQ151" s="14"/>
      <c r="IR151" s="14"/>
      <c r="IS151" s="14"/>
      <c r="IT151" s="14"/>
      <c r="IU151" s="14"/>
      <c r="IV151" s="14"/>
      <c r="IW151" s="14"/>
      <c r="IX151" s="14"/>
      <c r="IY151" s="14"/>
      <c r="IZ151" s="14"/>
      <c r="JA151" s="14"/>
      <c r="JB151" s="14"/>
      <c r="JC151" s="14"/>
      <c r="JD151" s="14"/>
      <c r="JE151" s="14"/>
      <c r="JF151" s="14"/>
      <c r="JG151" s="14"/>
      <c r="JH151" s="14"/>
      <c r="JI151" s="14"/>
      <c r="JJ151" s="14"/>
      <c r="JK151" s="14"/>
      <c r="JL151" s="14"/>
      <c r="JM151" s="14"/>
      <c r="JN151" s="14"/>
      <c r="JO151" s="14"/>
      <c r="JP151" s="14"/>
      <c r="JQ151" s="14"/>
      <c r="JR151" s="14"/>
      <c r="JS151" s="14"/>
      <c r="JT151" s="14"/>
      <c r="JU151" s="14"/>
      <c r="JV151" s="14"/>
      <c r="JW151" s="14"/>
      <c r="JX151" s="14"/>
      <c r="JY151" s="14"/>
      <c r="JZ151" s="14"/>
      <c r="KA151" s="14"/>
      <c r="KB151" s="14"/>
      <c r="KC151" s="14"/>
      <c r="KD151" s="14"/>
      <c r="KE151" s="14"/>
      <c r="KF151" s="14"/>
      <c r="KG151" s="14"/>
      <c r="KH151" s="14"/>
      <c r="KI151" s="14"/>
      <c r="KJ151" s="14"/>
      <c r="KK151" s="14"/>
      <c r="KL151" s="14"/>
      <c r="KM151" s="14"/>
      <c r="KN151" s="14"/>
      <c r="KO151" s="14"/>
      <c r="KP151" s="14"/>
      <c r="KQ151" s="14"/>
      <c r="KR151" s="14"/>
      <c r="KS151" s="14"/>
      <c r="KT151" s="14"/>
      <c r="KU151" s="14"/>
      <c r="KV151" s="14"/>
      <c r="KW151" s="14"/>
      <c r="KX151" s="14"/>
      <c r="KY151" s="14"/>
      <c r="KZ151" s="14"/>
      <c r="LA151" s="14"/>
      <c r="LB151" s="14"/>
      <c r="LC151" s="14"/>
      <c r="LD151" s="14"/>
      <c r="LE151" s="14"/>
      <c r="LF151" s="14"/>
      <c r="LG151" s="14"/>
      <c r="LH151" s="14"/>
      <c r="LI151" s="14"/>
      <c r="LJ151" s="14"/>
      <c r="LK151" s="14"/>
      <c r="LL151" s="14"/>
      <c r="LM151" s="14"/>
      <c r="LN151" s="14"/>
      <c r="LO151" s="14"/>
      <c r="LP151" s="14"/>
      <c r="LQ151" s="14"/>
      <c r="LR151" s="14"/>
      <c r="LS151" s="14"/>
      <c r="LT151" s="14"/>
      <c r="LU151" s="14"/>
      <c r="LV151" s="14"/>
      <c r="LW151" s="14"/>
      <c r="LX151" s="14"/>
      <c r="LY151" s="14"/>
      <c r="LZ151" s="14"/>
      <c r="MA151" s="14"/>
      <c r="MB151" s="14"/>
      <c r="MC151" s="14"/>
      <c r="MD151" s="14"/>
      <c r="ME151" s="14"/>
      <c r="MF151" s="14"/>
      <c r="MG151" s="14"/>
      <c r="MH151" s="14"/>
      <c r="MI151" s="14"/>
      <c r="MJ151" s="14"/>
      <c r="MK151" s="14"/>
      <c r="ML151" s="14"/>
      <c r="MM151" s="14"/>
      <c r="MN151" s="14"/>
      <c r="MO151" s="14"/>
      <c r="MP151" s="14"/>
      <c r="MQ151" s="14"/>
      <c r="MR151" s="14"/>
      <c r="MS151" s="14"/>
      <c r="MT151" s="14"/>
      <c r="MU151" s="14"/>
      <c r="MV151" s="14"/>
      <c r="MW151" s="14"/>
      <c r="MX151" s="14"/>
      <c r="MY151" s="14"/>
      <c r="MZ151" s="14"/>
      <c r="NA151" s="14"/>
      <c r="NB151" s="14"/>
      <c r="NC151" s="14"/>
      <c r="ND151" s="14"/>
      <c r="NE151" s="14"/>
      <c r="NF151" s="14"/>
      <c r="NG151" s="14"/>
      <c r="NH151" s="14"/>
      <c r="NI151" s="14"/>
      <c r="NJ151" s="14"/>
      <c r="NK151" s="14"/>
      <c r="NL151" s="14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</row>
    <row r="152" ht="13.5" customHeight="1">
      <c r="A152" s="2"/>
      <c r="B152" s="22"/>
      <c r="C152" s="2"/>
      <c r="D152" s="13"/>
      <c r="E152" s="3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4"/>
      <c r="DF152" s="14"/>
      <c r="DG152" s="14"/>
      <c r="DH152" s="14"/>
      <c r="DI152" s="14"/>
      <c r="DJ152" s="14"/>
      <c r="DK152" s="14"/>
      <c r="DL152" s="14"/>
      <c r="DM152" s="14"/>
      <c r="DN152" s="14"/>
      <c r="DO152" s="14"/>
      <c r="DP152" s="14"/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4"/>
      <c r="EJ152" s="14"/>
      <c r="EK152" s="14"/>
      <c r="EL152" s="14"/>
      <c r="EM152" s="14"/>
      <c r="EN152" s="14"/>
      <c r="EO152" s="14"/>
      <c r="EP152" s="14"/>
      <c r="EQ152" s="14"/>
      <c r="ER152" s="14"/>
      <c r="ES152" s="14"/>
      <c r="ET152" s="14"/>
      <c r="EU152" s="14"/>
      <c r="EV152" s="14"/>
      <c r="EW152" s="14"/>
      <c r="EX152" s="14"/>
      <c r="EY152" s="14"/>
      <c r="EZ152" s="14"/>
      <c r="FA152" s="14"/>
      <c r="FB152" s="14"/>
      <c r="FC152" s="14"/>
      <c r="FD152" s="14"/>
      <c r="FE152" s="14"/>
      <c r="FF152" s="14"/>
      <c r="FG152" s="14"/>
      <c r="FH152" s="14"/>
      <c r="FI152" s="14"/>
      <c r="FJ152" s="14"/>
      <c r="FK152" s="14"/>
      <c r="FL152" s="14"/>
      <c r="FM152" s="14"/>
      <c r="FN152" s="14"/>
      <c r="FO152" s="14"/>
      <c r="FP152" s="14"/>
      <c r="FQ152" s="14"/>
      <c r="FR152" s="14"/>
      <c r="FS152" s="14"/>
      <c r="FT152" s="14"/>
      <c r="FU152" s="14"/>
      <c r="FV152" s="14"/>
      <c r="FW152" s="14"/>
      <c r="FX152" s="14"/>
      <c r="FY152" s="14"/>
      <c r="FZ152" s="14"/>
      <c r="GA152" s="14"/>
      <c r="GB152" s="14"/>
      <c r="GC152" s="14"/>
      <c r="GD152" s="14"/>
      <c r="GE152" s="14"/>
      <c r="GF152" s="14"/>
      <c r="GG152" s="14"/>
      <c r="GH152" s="14"/>
      <c r="GI152" s="14"/>
      <c r="GJ152" s="14"/>
      <c r="GK152" s="14"/>
      <c r="GL152" s="14"/>
      <c r="GM152" s="14"/>
      <c r="GN152" s="14"/>
      <c r="GO152" s="14"/>
      <c r="GP152" s="14"/>
      <c r="GQ152" s="14"/>
      <c r="GR152" s="14"/>
      <c r="GS152" s="14"/>
      <c r="GT152" s="14"/>
      <c r="GU152" s="14"/>
      <c r="GV152" s="14"/>
      <c r="GW152" s="14"/>
      <c r="GX152" s="14"/>
      <c r="GY152" s="14"/>
      <c r="GZ152" s="14"/>
      <c r="HA152" s="14"/>
      <c r="HB152" s="14"/>
      <c r="HC152" s="14"/>
      <c r="HD152" s="14"/>
      <c r="HE152" s="14"/>
      <c r="HF152" s="14"/>
      <c r="HG152" s="14"/>
      <c r="HH152" s="14"/>
      <c r="HI152" s="14"/>
      <c r="HJ152" s="14"/>
      <c r="HK152" s="14"/>
      <c r="HL152" s="14"/>
      <c r="HM152" s="14"/>
      <c r="HN152" s="14"/>
      <c r="HO152" s="14"/>
      <c r="HP152" s="14"/>
      <c r="HQ152" s="14"/>
      <c r="HR152" s="14"/>
      <c r="HS152" s="14"/>
      <c r="HT152" s="14"/>
      <c r="HU152" s="14"/>
      <c r="HV152" s="14"/>
      <c r="HW152" s="14"/>
      <c r="HX152" s="14"/>
      <c r="HY152" s="14"/>
      <c r="HZ152" s="14"/>
      <c r="IA152" s="14"/>
      <c r="IB152" s="14"/>
      <c r="IC152" s="14"/>
      <c r="ID152" s="14"/>
      <c r="IE152" s="14"/>
      <c r="IF152" s="14"/>
      <c r="IG152" s="14"/>
      <c r="IH152" s="14"/>
      <c r="II152" s="14"/>
      <c r="IJ152" s="14"/>
      <c r="IK152" s="14"/>
      <c r="IL152" s="14"/>
      <c r="IM152" s="14"/>
      <c r="IN152" s="14"/>
      <c r="IO152" s="14"/>
      <c r="IP152" s="14"/>
      <c r="IQ152" s="14"/>
      <c r="IR152" s="14"/>
      <c r="IS152" s="14"/>
      <c r="IT152" s="14"/>
      <c r="IU152" s="14"/>
      <c r="IV152" s="14"/>
      <c r="IW152" s="14"/>
      <c r="IX152" s="14"/>
      <c r="IY152" s="14"/>
      <c r="IZ152" s="14"/>
      <c r="JA152" s="14"/>
      <c r="JB152" s="14"/>
      <c r="JC152" s="14"/>
      <c r="JD152" s="14"/>
      <c r="JE152" s="14"/>
      <c r="JF152" s="14"/>
      <c r="JG152" s="14"/>
      <c r="JH152" s="14"/>
      <c r="JI152" s="14"/>
      <c r="JJ152" s="14"/>
      <c r="JK152" s="14"/>
      <c r="JL152" s="14"/>
      <c r="JM152" s="14"/>
      <c r="JN152" s="14"/>
      <c r="JO152" s="14"/>
      <c r="JP152" s="14"/>
      <c r="JQ152" s="14"/>
      <c r="JR152" s="14"/>
      <c r="JS152" s="14"/>
      <c r="JT152" s="14"/>
      <c r="JU152" s="14"/>
      <c r="JV152" s="14"/>
      <c r="JW152" s="14"/>
      <c r="JX152" s="14"/>
      <c r="JY152" s="14"/>
      <c r="JZ152" s="14"/>
      <c r="KA152" s="14"/>
      <c r="KB152" s="14"/>
      <c r="KC152" s="14"/>
      <c r="KD152" s="14"/>
      <c r="KE152" s="14"/>
      <c r="KF152" s="14"/>
      <c r="KG152" s="14"/>
      <c r="KH152" s="14"/>
      <c r="KI152" s="14"/>
      <c r="KJ152" s="14"/>
      <c r="KK152" s="14"/>
      <c r="KL152" s="14"/>
      <c r="KM152" s="14"/>
      <c r="KN152" s="14"/>
      <c r="KO152" s="14"/>
      <c r="KP152" s="14"/>
      <c r="KQ152" s="14"/>
      <c r="KR152" s="14"/>
      <c r="KS152" s="14"/>
      <c r="KT152" s="14"/>
      <c r="KU152" s="14"/>
      <c r="KV152" s="14"/>
      <c r="KW152" s="14"/>
      <c r="KX152" s="14"/>
      <c r="KY152" s="14"/>
      <c r="KZ152" s="14"/>
      <c r="LA152" s="14"/>
      <c r="LB152" s="14"/>
      <c r="LC152" s="14"/>
      <c r="LD152" s="14"/>
      <c r="LE152" s="14"/>
      <c r="LF152" s="14"/>
      <c r="LG152" s="14"/>
      <c r="LH152" s="14"/>
      <c r="LI152" s="14"/>
      <c r="LJ152" s="14"/>
      <c r="LK152" s="14"/>
      <c r="LL152" s="14"/>
      <c r="LM152" s="14"/>
      <c r="LN152" s="14"/>
      <c r="LO152" s="14"/>
      <c r="LP152" s="14"/>
      <c r="LQ152" s="14"/>
      <c r="LR152" s="14"/>
      <c r="LS152" s="14"/>
      <c r="LT152" s="14"/>
      <c r="LU152" s="14"/>
      <c r="LV152" s="14"/>
      <c r="LW152" s="14"/>
      <c r="LX152" s="14"/>
      <c r="LY152" s="14"/>
      <c r="LZ152" s="14"/>
      <c r="MA152" s="14"/>
      <c r="MB152" s="14"/>
      <c r="MC152" s="14"/>
      <c r="MD152" s="14"/>
      <c r="ME152" s="14"/>
      <c r="MF152" s="14"/>
      <c r="MG152" s="14"/>
      <c r="MH152" s="14"/>
      <c r="MI152" s="14"/>
      <c r="MJ152" s="14"/>
      <c r="MK152" s="14"/>
      <c r="ML152" s="14"/>
      <c r="MM152" s="14"/>
      <c r="MN152" s="14"/>
      <c r="MO152" s="14"/>
      <c r="MP152" s="14"/>
      <c r="MQ152" s="14"/>
      <c r="MR152" s="14"/>
      <c r="MS152" s="14"/>
      <c r="MT152" s="14"/>
      <c r="MU152" s="14"/>
      <c r="MV152" s="14"/>
      <c r="MW152" s="14"/>
      <c r="MX152" s="14"/>
      <c r="MY152" s="14"/>
      <c r="MZ152" s="14"/>
      <c r="NA152" s="14"/>
      <c r="NB152" s="14"/>
      <c r="NC152" s="14"/>
      <c r="ND152" s="14"/>
      <c r="NE152" s="14"/>
      <c r="NF152" s="14"/>
      <c r="NG152" s="14"/>
      <c r="NH152" s="14"/>
      <c r="NI152" s="14"/>
      <c r="NJ152" s="14"/>
      <c r="NK152" s="14"/>
      <c r="NL152" s="14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</row>
    <row r="153" ht="13.5" customHeight="1">
      <c r="A153" s="2"/>
      <c r="B153" s="22"/>
      <c r="C153" s="2"/>
      <c r="D153" s="13"/>
      <c r="E153" s="3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  <c r="DI153" s="14"/>
      <c r="DJ153" s="14"/>
      <c r="DK153" s="14"/>
      <c r="DL153" s="14"/>
      <c r="DM153" s="14"/>
      <c r="DN153" s="14"/>
      <c r="DO153" s="14"/>
      <c r="DP153" s="14"/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  <c r="ED153" s="14"/>
      <c r="EE153" s="14"/>
      <c r="EF153" s="14"/>
      <c r="EG153" s="14"/>
      <c r="EH153" s="14"/>
      <c r="EI153" s="14"/>
      <c r="EJ153" s="14"/>
      <c r="EK153" s="14"/>
      <c r="EL153" s="14"/>
      <c r="EM153" s="14"/>
      <c r="EN153" s="14"/>
      <c r="EO153" s="14"/>
      <c r="EP153" s="14"/>
      <c r="EQ153" s="14"/>
      <c r="ER153" s="14"/>
      <c r="ES153" s="14"/>
      <c r="ET153" s="14"/>
      <c r="EU153" s="14"/>
      <c r="EV153" s="14"/>
      <c r="EW153" s="14"/>
      <c r="EX153" s="14"/>
      <c r="EY153" s="14"/>
      <c r="EZ153" s="14"/>
      <c r="FA153" s="14"/>
      <c r="FB153" s="14"/>
      <c r="FC153" s="14"/>
      <c r="FD153" s="14"/>
      <c r="FE153" s="14"/>
      <c r="FF153" s="14"/>
      <c r="FG153" s="14"/>
      <c r="FH153" s="14"/>
      <c r="FI153" s="14"/>
      <c r="FJ153" s="14"/>
      <c r="FK153" s="14"/>
      <c r="FL153" s="14"/>
      <c r="FM153" s="14"/>
      <c r="FN153" s="14"/>
      <c r="FO153" s="14"/>
      <c r="FP153" s="14"/>
      <c r="FQ153" s="14"/>
      <c r="FR153" s="14"/>
      <c r="FS153" s="14"/>
      <c r="FT153" s="14"/>
      <c r="FU153" s="14"/>
      <c r="FV153" s="14"/>
      <c r="FW153" s="14"/>
      <c r="FX153" s="14"/>
      <c r="FY153" s="14"/>
      <c r="FZ153" s="14"/>
      <c r="GA153" s="14"/>
      <c r="GB153" s="14"/>
      <c r="GC153" s="14"/>
      <c r="GD153" s="14"/>
      <c r="GE153" s="14"/>
      <c r="GF153" s="14"/>
      <c r="GG153" s="14"/>
      <c r="GH153" s="14"/>
      <c r="GI153" s="14"/>
      <c r="GJ153" s="14"/>
      <c r="GK153" s="14"/>
      <c r="GL153" s="14"/>
      <c r="GM153" s="14"/>
      <c r="GN153" s="14"/>
      <c r="GO153" s="14"/>
      <c r="GP153" s="14"/>
      <c r="GQ153" s="14"/>
      <c r="GR153" s="14"/>
      <c r="GS153" s="14"/>
      <c r="GT153" s="14"/>
      <c r="GU153" s="14"/>
      <c r="GV153" s="14"/>
      <c r="GW153" s="14"/>
      <c r="GX153" s="14"/>
      <c r="GY153" s="14"/>
      <c r="GZ153" s="14"/>
      <c r="HA153" s="14"/>
      <c r="HB153" s="14"/>
      <c r="HC153" s="14"/>
      <c r="HD153" s="14"/>
      <c r="HE153" s="14"/>
      <c r="HF153" s="14"/>
      <c r="HG153" s="14"/>
      <c r="HH153" s="14"/>
      <c r="HI153" s="14"/>
      <c r="HJ153" s="14"/>
      <c r="HK153" s="14"/>
      <c r="HL153" s="14"/>
      <c r="HM153" s="14"/>
      <c r="HN153" s="14"/>
      <c r="HO153" s="14"/>
      <c r="HP153" s="14"/>
      <c r="HQ153" s="14"/>
      <c r="HR153" s="14"/>
      <c r="HS153" s="14"/>
      <c r="HT153" s="14"/>
      <c r="HU153" s="14"/>
      <c r="HV153" s="14"/>
      <c r="HW153" s="14"/>
      <c r="HX153" s="14"/>
      <c r="HY153" s="14"/>
      <c r="HZ153" s="14"/>
      <c r="IA153" s="14"/>
      <c r="IB153" s="14"/>
      <c r="IC153" s="14"/>
      <c r="ID153" s="14"/>
      <c r="IE153" s="14"/>
      <c r="IF153" s="14"/>
      <c r="IG153" s="14"/>
      <c r="IH153" s="14"/>
      <c r="II153" s="14"/>
      <c r="IJ153" s="14"/>
      <c r="IK153" s="14"/>
      <c r="IL153" s="14"/>
      <c r="IM153" s="14"/>
      <c r="IN153" s="14"/>
      <c r="IO153" s="14"/>
      <c r="IP153" s="14"/>
      <c r="IQ153" s="14"/>
      <c r="IR153" s="14"/>
      <c r="IS153" s="14"/>
      <c r="IT153" s="14"/>
      <c r="IU153" s="14"/>
      <c r="IV153" s="14"/>
      <c r="IW153" s="14"/>
      <c r="IX153" s="14"/>
      <c r="IY153" s="14"/>
      <c r="IZ153" s="14"/>
      <c r="JA153" s="14"/>
      <c r="JB153" s="14"/>
      <c r="JC153" s="14"/>
      <c r="JD153" s="14"/>
      <c r="JE153" s="14"/>
      <c r="JF153" s="14"/>
      <c r="JG153" s="14"/>
      <c r="JH153" s="14"/>
      <c r="JI153" s="14"/>
      <c r="JJ153" s="14"/>
      <c r="JK153" s="14"/>
      <c r="JL153" s="14"/>
      <c r="JM153" s="14"/>
      <c r="JN153" s="14"/>
      <c r="JO153" s="14"/>
      <c r="JP153" s="14"/>
      <c r="JQ153" s="14"/>
      <c r="JR153" s="14"/>
      <c r="JS153" s="14"/>
      <c r="JT153" s="14"/>
      <c r="JU153" s="14"/>
      <c r="JV153" s="14"/>
      <c r="JW153" s="14"/>
      <c r="JX153" s="14"/>
      <c r="JY153" s="14"/>
      <c r="JZ153" s="14"/>
      <c r="KA153" s="14"/>
      <c r="KB153" s="14"/>
      <c r="KC153" s="14"/>
      <c r="KD153" s="14"/>
      <c r="KE153" s="14"/>
      <c r="KF153" s="14"/>
      <c r="KG153" s="14"/>
      <c r="KH153" s="14"/>
      <c r="KI153" s="14"/>
      <c r="KJ153" s="14"/>
      <c r="KK153" s="14"/>
      <c r="KL153" s="14"/>
      <c r="KM153" s="14"/>
      <c r="KN153" s="14"/>
      <c r="KO153" s="14"/>
      <c r="KP153" s="14"/>
      <c r="KQ153" s="14"/>
      <c r="KR153" s="14"/>
      <c r="KS153" s="14"/>
      <c r="KT153" s="14"/>
      <c r="KU153" s="14"/>
      <c r="KV153" s="14"/>
      <c r="KW153" s="14"/>
      <c r="KX153" s="14"/>
      <c r="KY153" s="14"/>
      <c r="KZ153" s="14"/>
      <c r="LA153" s="14"/>
      <c r="LB153" s="14"/>
      <c r="LC153" s="14"/>
      <c r="LD153" s="14"/>
      <c r="LE153" s="14"/>
      <c r="LF153" s="14"/>
      <c r="LG153" s="14"/>
      <c r="LH153" s="14"/>
      <c r="LI153" s="14"/>
      <c r="LJ153" s="14"/>
      <c r="LK153" s="14"/>
      <c r="LL153" s="14"/>
      <c r="LM153" s="14"/>
      <c r="LN153" s="14"/>
      <c r="LO153" s="14"/>
      <c r="LP153" s="14"/>
      <c r="LQ153" s="14"/>
      <c r="LR153" s="14"/>
      <c r="LS153" s="14"/>
      <c r="LT153" s="14"/>
      <c r="LU153" s="14"/>
      <c r="LV153" s="14"/>
      <c r="LW153" s="14"/>
      <c r="LX153" s="14"/>
      <c r="LY153" s="14"/>
      <c r="LZ153" s="14"/>
      <c r="MA153" s="14"/>
      <c r="MB153" s="14"/>
      <c r="MC153" s="14"/>
      <c r="MD153" s="14"/>
      <c r="ME153" s="14"/>
      <c r="MF153" s="14"/>
      <c r="MG153" s="14"/>
      <c r="MH153" s="14"/>
      <c r="MI153" s="14"/>
      <c r="MJ153" s="14"/>
      <c r="MK153" s="14"/>
      <c r="ML153" s="14"/>
      <c r="MM153" s="14"/>
      <c r="MN153" s="14"/>
      <c r="MO153" s="14"/>
      <c r="MP153" s="14"/>
      <c r="MQ153" s="14"/>
      <c r="MR153" s="14"/>
      <c r="MS153" s="14"/>
      <c r="MT153" s="14"/>
      <c r="MU153" s="14"/>
      <c r="MV153" s="14"/>
      <c r="MW153" s="14"/>
      <c r="MX153" s="14"/>
      <c r="MY153" s="14"/>
      <c r="MZ153" s="14"/>
      <c r="NA153" s="14"/>
      <c r="NB153" s="14"/>
      <c r="NC153" s="14"/>
      <c r="ND153" s="14"/>
      <c r="NE153" s="14"/>
      <c r="NF153" s="14"/>
      <c r="NG153" s="14"/>
      <c r="NH153" s="14"/>
      <c r="NI153" s="14"/>
      <c r="NJ153" s="14"/>
      <c r="NK153" s="14"/>
      <c r="NL153" s="14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</row>
    <row r="154" ht="13.5" customHeight="1">
      <c r="A154" s="2"/>
      <c r="B154" s="22"/>
      <c r="C154" s="2"/>
      <c r="D154" s="13"/>
      <c r="E154" s="3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14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4"/>
      <c r="EJ154" s="14"/>
      <c r="EK154" s="14"/>
      <c r="EL154" s="14"/>
      <c r="EM154" s="14"/>
      <c r="EN154" s="14"/>
      <c r="EO154" s="14"/>
      <c r="EP154" s="14"/>
      <c r="EQ154" s="14"/>
      <c r="ER154" s="14"/>
      <c r="ES154" s="14"/>
      <c r="ET154" s="14"/>
      <c r="EU154" s="14"/>
      <c r="EV154" s="14"/>
      <c r="EW154" s="14"/>
      <c r="EX154" s="14"/>
      <c r="EY154" s="14"/>
      <c r="EZ154" s="14"/>
      <c r="FA154" s="14"/>
      <c r="FB154" s="14"/>
      <c r="FC154" s="14"/>
      <c r="FD154" s="14"/>
      <c r="FE154" s="14"/>
      <c r="FF154" s="14"/>
      <c r="FG154" s="14"/>
      <c r="FH154" s="14"/>
      <c r="FI154" s="14"/>
      <c r="FJ154" s="14"/>
      <c r="FK154" s="14"/>
      <c r="FL154" s="14"/>
      <c r="FM154" s="14"/>
      <c r="FN154" s="14"/>
      <c r="FO154" s="14"/>
      <c r="FP154" s="14"/>
      <c r="FQ154" s="14"/>
      <c r="FR154" s="14"/>
      <c r="FS154" s="14"/>
      <c r="FT154" s="14"/>
      <c r="FU154" s="14"/>
      <c r="FV154" s="14"/>
      <c r="FW154" s="14"/>
      <c r="FX154" s="14"/>
      <c r="FY154" s="14"/>
      <c r="FZ154" s="14"/>
      <c r="GA154" s="14"/>
      <c r="GB154" s="14"/>
      <c r="GC154" s="14"/>
      <c r="GD154" s="14"/>
      <c r="GE154" s="14"/>
      <c r="GF154" s="14"/>
      <c r="GG154" s="14"/>
      <c r="GH154" s="14"/>
      <c r="GI154" s="14"/>
      <c r="GJ154" s="14"/>
      <c r="GK154" s="14"/>
      <c r="GL154" s="14"/>
      <c r="GM154" s="14"/>
      <c r="GN154" s="14"/>
      <c r="GO154" s="14"/>
      <c r="GP154" s="14"/>
      <c r="GQ154" s="14"/>
      <c r="GR154" s="14"/>
      <c r="GS154" s="14"/>
      <c r="GT154" s="14"/>
      <c r="GU154" s="14"/>
      <c r="GV154" s="14"/>
      <c r="GW154" s="14"/>
      <c r="GX154" s="14"/>
      <c r="GY154" s="14"/>
      <c r="GZ154" s="14"/>
      <c r="HA154" s="14"/>
      <c r="HB154" s="14"/>
      <c r="HC154" s="14"/>
      <c r="HD154" s="14"/>
      <c r="HE154" s="14"/>
      <c r="HF154" s="14"/>
      <c r="HG154" s="14"/>
      <c r="HH154" s="14"/>
      <c r="HI154" s="14"/>
      <c r="HJ154" s="14"/>
      <c r="HK154" s="14"/>
      <c r="HL154" s="14"/>
      <c r="HM154" s="14"/>
      <c r="HN154" s="14"/>
      <c r="HO154" s="14"/>
      <c r="HP154" s="14"/>
      <c r="HQ154" s="14"/>
      <c r="HR154" s="14"/>
      <c r="HS154" s="14"/>
      <c r="HT154" s="14"/>
      <c r="HU154" s="14"/>
      <c r="HV154" s="14"/>
      <c r="HW154" s="14"/>
      <c r="HX154" s="14"/>
      <c r="HY154" s="14"/>
      <c r="HZ154" s="14"/>
      <c r="IA154" s="14"/>
      <c r="IB154" s="14"/>
      <c r="IC154" s="14"/>
      <c r="ID154" s="14"/>
      <c r="IE154" s="14"/>
      <c r="IF154" s="14"/>
      <c r="IG154" s="14"/>
      <c r="IH154" s="14"/>
      <c r="II154" s="14"/>
      <c r="IJ154" s="14"/>
      <c r="IK154" s="14"/>
      <c r="IL154" s="14"/>
      <c r="IM154" s="14"/>
      <c r="IN154" s="14"/>
      <c r="IO154" s="14"/>
      <c r="IP154" s="14"/>
      <c r="IQ154" s="14"/>
      <c r="IR154" s="14"/>
      <c r="IS154" s="14"/>
      <c r="IT154" s="14"/>
      <c r="IU154" s="14"/>
      <c r="IV154" s="14"/>
      <c r="IW154" s="14"/>
      <c r="IX154" s="14"/>
      <c r="IY154" s="14"/>
      <c r="IZ154" s="14"/>
      <c r="JA154" s="14"/>
      <c r="JB154" s="14"/>
      <c r="JC154" s="14"/>
      <c r="JD154" s="14"/>
      <c r="JE154" s="14"/>
      <c r="JF154" s="14"/>
      <c r="JG154" s="14"/>
      <c r="JH154" s="14"/>
      <c r="JI154" s="14"/>
      <c r="JJ154" s="14"/>
      <c r="JK154" s="14"/>
      <c r="JL154" s="14"/>
      <c r="JM154" s="14"/>
      <c r="JN154" s="14"/>
      <c r="JO154" s="14"/>
      <c r="JP154" s="14"/>
      <c r="JQ154" s="14"/>
      <c r="JR154" s="14"/>
      <c r="JS154" s="14"/>
      <c r="JT154" s="14"/>
      <c r="JU154" s="14"/>
      <c r="JV154" s="14"/>
      <c r="JW154" s="14"/>
      <c r="JX154" s="14"/>
      <c r="JY154" s="14"/>
      <c r="JZ154" s="14"/>
      <c r="KA154" s="14"/>
      <c r="KB154" s="14"/>
      <c r="KC154" s="14"/>
      <c r="KD154" s="14"/>
      <c r="KE154" s="14"/>
      <c r="KF154" s="14"/>
      <c r="KG154" s="14"/>
      <c r="KH154" s="14"/>
      <c r="KI154" s="14"/>
      <c r="KJ154" s="14"/>
      <c r="KK154" s="14"/>
      <c r="KL154" s="14"/>
      <c r="KM154" s="14"/>
      <c r="KN154" s="14"/>
      <c r="KO154" s="14"/>
      <c r="KP154" s="14"/>
      <c r="KQ154" s="14"/>
      <c r="KR154" s="14"/>
      <c r="KS154" s="14"/>
      <c r="KT154" s="14"/>
      <c r="KU154" s="14"/>
      <c r="KV154" s="14"/>
      <c r="KW154" s="14"/>
      <c r="KX154" s="14"/>
      <c r="KY154" s="14"/>
      <c r="KZ154" s="14"/>
      <c r="LA154" s="14"/>
      <c r="LB154" s="14"/>
      <c r="LC154" s="14"/>
      <c r="LD154" s="14"/>
      <c r="LE154" s="14"/>
      <c r="LF154" s="14"/>
      <c r="LG154" s="14"/>
      <c r="LH154" s="14"/>
      <c r="LI154" s="14"/>
      <c r="LJ154" s="14"/>
      <c r="LK154" s="14"/>
      <c r="LL154" s="14"/>
      <c r="LM154" s="14"/>
      <c r="LN154" s="14"/>
      <c r="LO154" s="14"/>
      <c r="LP154" s="14"/>
      <c r="LQ154" s="14"/>
      <c r="LR154" s="14"/>
      <c r="LS154" s="14"/>
      <c r="LT154" s="14"/>
      <c r="LU154" s="14"/>
      <c r="LV154" s="14"/>
      <c r="LW154" s="14"/>
      <c r="LX154" s="14"/>
      <c r="LY154" s="14"/>
      <c r="LZ154" s="14"/>
      <c r="MA154" s="14"/>
      <c r="MB154" s="14"/>
      <c r="MC154" s="14"/>
      <c r="MD154" s="14"/>
      <c r="ME154" s="14"/>
      <c r="MF154" s="14"/>
      <c r="MG154" s="14"/>
      <c r="MH154" s="14"/>
      <c r="MI154" s="14"/>
      <c r="MJ154" s="14"/>
      <c r="MK154" s="14"/>
      <c r="ML154" s="14"/>
      <c r="MM154" s="14"/>
      <c r="MN154" s="14"/>
      <c r="MO154" s="14"/>
      <c r="MP154" s="14"/>
      <c r="MQ154" s="14"/>
      <c r="MR154" s="14"/>
      <c r="MS154" s="14"/>
      <c r="MT154" s="14"/>
      <c r="MU154" s="14"/>
      <c r="MV154" s="14"/>
      <c r="MW154" s="14"/>
      <c r="MX154" s="14"/>
      <c r="MY154" s="14"/>
      <c r="MZ154" s="14"/>
      <c r="NA154" s="14"/>
      <c r="NB154" s="14"/>
      <c r="NC154" s="14"/>
      <c r="ND154" s="14"/>
      <c r="NE154" s="14"/>
      <c r="NF154" s="14"/>
      <c r="NG154" s="14"/>
      <c r="NH154" s="14"/>
      <c r="NI154" s="14"/>
      <c r="NJ154" s="14"/>
      <c r="NK154" s="14"/>
      <c r="NL154" s="14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</row>
    <row r="155" ht="13.5" customHeight="1">
      <c r="A155" s="2"/>
      <c r="B155" s="22"/>
      <c r="C155" s="2"/>
      <c r="D155" s="13"/>
      <c r="E155" s="3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4"/>
      <c r="DF155" s="14"/>
      <c r="DG155" s="14"/>
      <c r="DH155" s="14"/>
      <c r="DI155" s="14"/>
      <c r="DJ155" s="14"/>
      <c r="DK155" s="14"/>
      <c r="DL155" s="14"/>
      <c r="DM155" s="14"/>
      <c r="DN155" s="14"/>
      <c r="DO155" s="14"/>
      <c r="DP155" s="14"/>
      <c r="DQ155" s="14"/>
      <c r="DR155" s="14"/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4"/>
      <c r="EJ155" s="14"/>
      <c r="EK155" s="14"/>
      <c r="EL155" s="14"/>
      <c r="EM155" s="14"/>
      <c r="EN155" s="14"/>
      <c r="EO155" s="14"/>
      <c r="EP155" s="14"/>
      <c r="EQ155" s="14"/>
      <c r="ER155" s="14"/>
      <c r="ES155" s="14"/>
      <c r="ET155" s="14"/>
      <c r="EU155" s="14"/>
      <c r="EV155" s="14"/>
      <c r="EW155" s="14"/>
      <c r="EX155" s="14"/>
      <c r="EY155" s="14"/>
      <c r="EZ155" s="14"/>
      <c r="FA155" s="14"/>
      <c r="FB155" s="14"/>
      <c r="FC155" s="14"/>
      <c r="FD155" s="14"/>
      <c r="FE155" s="14"/>
      <c r="FF155" s="14"/>
      <c r="FG155" s="14"/>
      <c r="FH155" s="14"/>
      <c r="FI155" s="14"/>
      <c r="FJ155" s="14"/>
      <c r="FK155" s="14"/>
      <c r="FL155" s="14"/>
      <c r="FM155" s="14"/>
      <c r="FN155" s="14"/>
      <c r="FO155" s="14"/>
      <c r="FP155" s="14"/>
      <c r="FQ155" s="14"/>
      <c r="FR155" s="14"/>
      <c r="FS155" s="14"/>
      <c r="FT155" s="14"/>
      <c r="FU155" s="14"/>
      <c r="FV155" s="14"/>
      <c r="FW155" s="14"/>
      <c r="FX155" s="14"/>
      <c r="FY155" s="14"/>
      <c r="FZ155" s="14"/>
      <c r="GA155" s="14"/>
      <c r="GB155" s="14"/>
      <c r="GC155" s="14"/>
      <c r="GD155" s="14"/>
      <c r="GE155" s="14"/>
      <c r="GF155" s="14"/>
      <c r="GG155" s="14"/>
      <c r="GH155" s="14"/>
      <c r="GI155" s="14"/>
      <c r="GJ155" s="14"/>
      <c r="GK155" s="14"/>
      <c r="GL155" s="14"/>
      <c r="GM155" s="14"/>
      <c r="GN155" s="14"/>
      <c r="GO155" s="14"/>
      <c r="GP155" s="14"/>
      <c r="GQ155" s="14"/>
      <c r="GR155" s="14"/>
      <c r="GS155" s="14"/>
      <c r="GT155" s="14"/>
      <c r="GU155" s="14"/>
      <c r="GV155" s="14"/>
      <c r="GW155" s="14"/>
      <c r="GX155" s="14"/>
      <c r="GY155" s="14"/>
      <c r="GZ155" s="14"/>
      <c r="HA155" s="14"/>
      <c r="HB155" s="14"/>
      <c r="HC155" s="14"/>
      <c r="HD155" s="14"/>
      <c r="HE155" s="14"/>
      <c r="HF155" s="14"/>
      <c r="HG155" s="14"/>
      <c r="HH155" s="14"/>
      <c r="HI155" s="14"/>
      <c r="HJ155" s="14"/>
      <c r="HK155" s="14"/>
      <c r="HL155" s="14"/>
      <c r="HM155" s="14"/>
      <c r="HN155" s="14"/>
      <c r="HO155" s="14"/>
      <c r="HP155" s="14"/>
      <c r="HQ155" s="14"/>
      <c r="HR155" s="14"/>
      <c r="HS155" s="14"/>
      <c r="HT155" s="14"/>
      <c r="HU155" s="14"/>
      <c r="HV155" s="14"/>
      <c r="HW155" s="14"/>
      <c r="HX155" s="14"/>
      <c r="HY155" s="14"/>
      <c r="HZ155" s="14"/>
      <c r="IA155" s="14"/>
      <c r="IB155" s="14"/>
      <c r="IC155" s="14"/>
      <c r="ID155" s="14"/>
      <c r="IE155" s="14"/>
      <c r="IF155" s="14"/>
      <c r="IG155" s="14"/>
      <c r="IH155" s="14"/>
      <c r="II155" s="14"/>
      <c r="IJ155" s="14"/>
      <c r="IK155" s="14"/>
      <c r="IL155" s="14"/>
      <c r="IM155" s="14"/>
      <c r="IN155" s="14"/>
      <c r="IO155" s="14"/>
      <c r="IP155" s="14"/>
      <c r="IQ155" s="14"/>
      <c r="IR155" s="14"/>
      <c r="IS155" s="14"/>
      <c r="IT155" s="14"/>
      <c r="IU155" s="14"/>
      <c r="IV155" s="14"/>
      <c r="IW155" s="14"/>
      <c r="IX155" s="14"/>
      <c r="IY155" s="14"/>
      <c r="IZ155" s="14"/>
      <c r="JA155" s="14"/>
      <c r="JB155" s="14"/>
      <c r="JC155" s="14"/>
      <c r="JD155" s="14"/>
      <c r="JE155" s="14"/>
      <c r="JF155" s="14"/>
      <c r="JG155" s="14"/>
      <c r="JH155" s="14"/>
      <c r="JI155" s="14"/>
      <c r="JJ155" s="14"/>
      <c r="JK155" s="14"/>
      <c r="JL155" s="14"/>
      <c r="JM155" s="14"/>
      <c r="JN155" s="14"/>
      <c r="JO155" s="14"/>
      <c r="JP155" s="14"/>
      <c r="JQ155" s="14"/>
      <c r="JR155" s="14"/>
      <c r="JS155" s="14"/>
      <c r="JT155" s="14"/>
      <c r="JU155" s="14"/>
      <c r="JV155" s="14"/>
      <c r="JW155" s="14"/>
      <c r="JX155" s="14"/>
      <c r="JY155" s="14"/>
      <c r="JZ155" s="14"/>
      <c r="KA155" s="14"/>
      <c r="KB155" s="14"/>
      <c r="KC155" s="14"/>
      <c r="KD155" s="14"/>
      <c r="KE155" s="14"/>
      <c r="KF155" s="14"/>
      <c r="KG155" s="14"/>
      <c r="KH155" s="14"/>
      <c r="KI155" s="14"/>
      <c r="KJ155" s="14"/>
      <c r="KK155" s="14"/>
      <c r="KL155" s="14"/>
      <c r="KM155" s="14"/>
      <c r="KN155" s="14"/>
      <c r="KO155" s="14"/>
      <c r="KP155" s="14"/>
      <c r="KQ155" s="14"/>
      <c r="KR155" s="14"/>
      <c r="KS155" s="14"/>
      <c r="KT155" s="14"/>
      <c r="KU155" s="14"/>
      <c r="KV155" s="14"/>
      <c r="KW155" s="14"/>
      <c r="KX155" s="14"/>
      <c r="KY155" s="14"/>
      <c r="KZ155" s="14"/>
      <c r="LA155" s="14"/>
      <c r="LB155" s="14"/>
      <c r="LC155" s="14"/>
      <c r="LD155" s="14"/>
      <c r="LE155" s="14"/>
      <c r="LF155" s="14"/>
      <c r="LG155" s="14"/>
      <c r="LH155" s="14"/>
      <c r="LI155" s="14"/>
      <c r="LJ155" s="14"/>
      <c r="LK155" s="14"/>
      <c r="LL155" s="14"/>
      <c r="LM155" s="14"/>
      <c r="LN155" s="14"/>
      <c r="LO155" s="14"/>
      <c r="LP155" s="14"/>
      <c r="LQ155" s="14"/>
      <c r="LR155" s="14"/>
      <c r="LS155" s="14"/>
      <c r="LT155" s="14"/>
      <c r="LU155" s="14"/>
      <c r="LV155" s="14"/>
      <c r="LW155" s="14"/>
      <c r="LX155" s="14"/>
      <c r="LY155" s="14"/>
      <c r="LZ155" s="14"/>
      <c r="MA155" s="14"/>
      <c r="MB155" s="14"/>
      <c r="MC155" s="14"/>
      <c r="MD155" s="14"/>
      <c r="ME155" s="14"/>
      <c r="MF155" s="14"/>
      <c r="MG155" s="14"/>
      <c r="MH155" s="14"/>
      <c r="MI155" s="14"/>
      <c r="MJ155" s="14"/>
      <c r="MK155" s="14"/>
      <c r="ML155" s="14"/>
      <c r="MM155" s="14"/>
      <c r="MN155" s="14"/>
      <c r="MO155" s="14"/>
      <c r="MP155" s="14"/>
      <c r="MQ155" s="14"/>
      <c r="MR155" s="14"/>
      <c r="MS155" s="14"/>
      <c r="MT155" s="14"/>
      <c r="MU155" s="14"/>
      <c r="MV155" s="14"/>
      <c r="MW155" s="14"/>
      <c r="MX155" s="14"/>
      <c r="MY155" s="14"/>
      <c r="MZ155" s="14"/>
      <c r="NA155" s="14"/>
      <c r="NB155" s="14"/>
      <c r="NC155" s="14"/>
      <c r="ND155" s="14"/>
      <c r="NE155" s="14"/>
      <c r="NF155" s="14"/>
      <c r="NG155" s="14"/>
      <c r="NH155" s="14"/>
      <c r="NI155" s="14"/>
      <c r="NJ155" s="14"/>
      <c r="NK155" s="14"/>
      <c r="NL155" s="14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</row>
    <row r="156" ht="13.5" customHeight="1">
      <c r="A156" s="2"/>
      <c r="B156" s="22"/>
      <c r="C156" s="2"/>
      <c r="D156" s="13"/>
      <c r="E156" s="3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  <c r="DI156" s="14"/>
      <c r="DJ156" s="14"/>
      <c r="DK156" s="14"/>
      <c r="DL156" s="14"/>
      <c r="DM156" s="14"/>
      <c r="DN156" s="14"/>
      <c r="DO156" s="14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4"/>
      <c r="EJ156" s="14"/>
      <c r="EK156" s="14"/>
      <c r="EL156" s="14"/>
      <c r="EM156" s="14"/>
      <c r="EN156" s="14"/>
      <c r="EO156" s="14"/>
      <c r="EP156" s="14"/>
      <c r="EQ156" s="14"/>
      <c r="ER156" s="14"/>
      <c r="ES156" s="14"/>
      <c r="ET156" s="14"/>
      <c r="EU156" s="14"/>
      <c r="EV156" s="14"/>
      <c r="EW156" s="14"/>
      <c r="EX156" s="14"/>
      <c r="EY156" s="14"/>
      <c r="EZ156" s="14"/>
      <c r="FA156" s="14"/>
      <c r="FB156" s="14"/>
      <c r="FC156" s="14"/>
      <c r="FD156" s="14"/>
      <c r="FE156" s="14"/>
      <c r="FF156" s="14"/>
      <c r="FG156" s="14"/>
      <c r="FH156" s="14"/>
      <c r="FI156" s="14"/>
      <c r="FJ156" s="14"/>
      <c r="FK156" s="14"/>
      <c r="FL156" s="14"/>
      <c r="FM156" s="14"/>
      <c r="FN156" s="14"/>
      <c r="FO156" s="14"/>
      <c r="FP156" s="14"/>
      <c r="FQ156" s="14"/>
      <c r="FR156" s="14"/>
      <c r="FS156" s="14"/>
      <c r="FT156" s="14"/>
      <c r="FU156" s="14"/>
      <c r="FV156" s="14"/>
      <c r="FW156" s="14"/>
      <c r="FX156" s="14"/>
      <c r="FY156" s="14"/>
      <c r="FZ156" s="14"/>
      <c r="GA156" s="14"/>
      <c r="GB156" s="14"/>
      <c r="GC156" s="14"/>
      <c r="GD156" s="14"/>
      <c r="GE156" s="14"/>
      <c r="GF156" s="14"/>
      <c r="GG156" s="14"/>
      <c r="GH156" s="14"/>
      <c r="GI156" s="14"/>
      <c r="GJ156" s="14"/>
      <c r="GK156" s="14"/>
      <c r="GL156" s="14"/>
      <c r="GM156" s="14"/>
      <c r="GN156" s="14"/>
      <c r="GO156" s="14"/>
      <c r="GP156" s="14"/>
      <c r="GQ156" s="14"/>
      <c r="GR156" s="14"/>
      <c r="GS156" s="14"/>
      <c r="GT156" s="14"/>
      <c r="GU156" s="14"/>
      <c r="GV156" s="14"/>
      <c r="GW156" s="14"/>
      <c r="GX156" s="14"/>
      <c r="GY156" s="14"/>
      <c r="GZ156" s="14"/>
      <c r="HA156" s="14"/>
      <c r="HB156" s="14"/>
      <c r="HC156" s="14"/>
      <c r="HD156" s="14"/>
      <c r="HE156" s="14"/>
      <c r="HF156" s="14"/>
      <c r="HG156" s="14"/>
      <c r="HH156" s="14"/>
      <c r="HI156" s="14"/>
      <c r="HJ156" s="14"/>
      <c r="HK156" s="14"/>
      <c r="HL156" s="14"/>
      <c r="HM156" s="14"/>
      <c r="HN156" s="14"/>
      <c r="HO156" s="14"/>
      <c r="HP156" s="14"/>
      <c r="HQ156" s="14"/>
      <c r="HR156" s="14"/>
      <c r="HS156" s="14"/>
      <c r="HT156" s="14"/>
      <c r="HU156" s="14"/>
      <c r="HV156" s="14"/>
      <c r="HW156" s="14"/>
      <c r="HX156" s="14"/>
      <c r="HY156" s="14"/>
      <c r="HZ156" s="14"/>
      <c r="IA156" s="14"/>
      <c r="IB156" s="14"/>
      <c r="IC156" s="14"/>
      <c r="ID156" s="14"/>
      <c r="IE156" s="14"/>
      <c r="IF156" s="14"/>
      <c r="IG156" s="14"/>
      <c r="IH156" s="14"/>
      <c r="II156" s="14"/>
      <c r="IJ156" s="14"/>
      <c r="IK156" s="14"/>
      <c r="IL156" s="14"/>
      <c r="IM156" s="14"/>
      <c r="IN156" s="14"/>
      <c r="IO156" s="14"/>
      <c r="IP156" s="14"/>
      <c r="IQ156" s="14"/>
      <c r="IR156" s="14"/>
      <c r="IS156" s="14"/>
      <c r="IT156" s="14"/>
      <c r="IU156" s="14"/>
      <c r="IV156" s="14"/>
      <c r="IW156" s="14"/>
      <c r="IX156" s="14"/>
      <c r="IY156" s="14"/>
      <c r="IZ156" s="14"/>
      <c r="JA156" s="14"/>
      <c r="JB156" s="14"/>
      <c r="JC156" s="14"/>
      <c r="JD156" s="14"/>
      <c r="JE156" s="14"/>
      <c r="JF156" s="14"/>
      <c r="JG156" s="14"/>
      <c r="JH156" s="14"/>
      <c r="JI156" s="14"/>
      <c r="JJ156" s="14"/>
      <c r="JK156" s="14"/>
      <c r="JL156" s="14"/>
      <c r="JM156" s="14"/>
      <c r="JN156" s="14"/>
      <c r="JO156" s="14"/>
      <c r="JP156" s="14"/>
      <c r="JQ156" s="14"/>
      <c r="JR156" s="14"/>
      <c r="JS156" s="14"/>
      <c r="JT156" s="14"/>
      <c r="JU156" s="14"/>
      <c r="JV156" s="14"/>
      <c r="JW156" s="14"/>
      <c r="JX156" s="14"/>
      <c r="JY156" s="14"/>
      <c r="JZ156" s="14"/>
      <c r="KA156" s="14"/>
      <c r="KB156" s="14"/>
      <c r="KC156" s="14"/>
      <c r="KD156" s="14"/>
      <c r="KE156" s="14"/>
      <c r="KF156" s="14"/>
      <c r="KG156" s="14"/>
      <c r="KH156" s="14"/>
      <c r="KI156" s="14"/>
      <c r="KJ156" s="14"/>
      <c r="KK156" s="14"/>
      <c r="KL156" s="14"/>
      <c r="KM156" s="14"/>
      <c r="KN156" s="14"/>
      <c r="KO156" s="14"/>
      <c r="KP156" s="14"/>
      <c r="KQ156" s="14"/>
      <c r="KR156" s="14"/>
      <c r="KS156" s="14"/>
      <c r="KT156" s="14"/>
      <c r="KU156" s="14"/>
      <c r="KV156" s="14"/>
      <c r="KW156" s="14"/>
      <c r="KX156" s="14"/>
      <c r="KY156" s="14"/>
      <c r="KZ156" s="14"/>
      <c r="LA156" s="14"/>
      <c r="LB156" s="14"/>
      <c r="LC156" s="14"/>
      <c r="LD156" s="14"/>
      <c r="LE156" s="14"/>
      <c r="LF156" s="14"/>
      <c r="LG156" s="14"/>
      <c r="LH156" s="14"/>
      <c r="LI156" s="14"/>
      <c r="LJ156" s="14"/>
      <c r="LK156" s="14"/>
      <c r="LL156" s="14"/>
      <c r="LM156" s="14"/>
      <c r="LN156" s="14"/>
      <c r="LO156" s="14"/>
      <c r="LP156" s="14"/>
      <c r="LQ156" s="14"/>
      <c r="LR156" s="14"/>
      <c r="LS156" s="14"/>
      <c r="LT156" s="14"/>
      <c r="LU156" s="14"/>
      <c r="LV156" s="14"/>
      <c r="LW156" s="14"/>
      <c r="LX156" s="14"/>
      <c r="LY156" s="14"/>
      <c r="LZ156" s="14"/>
      <c r="MA156" s="14"/>
      <c r="MB156" s="14"/>
      <c r="MC156" s="14"/>
      <c r="MD156" s="14"/>
      <c r="ME156" s="14"/>
      <c r="MF156" s="14"/>
      <c r="MG156" s="14"/>
      <c r="MH156" s="14"/>
      <c r="MI156" s="14"/>
      <c r="MJ156" s="14"/>
      <c r="MK156" s="14"/>
      <c r="ML156" s="14"/>
      <c r="MM156" s="14"/>
      <c r="MN156" s="14"/>
      <c r="MO156" s="14"/>
      <c r="MP156" s="14"/>
      <c r="MQ156" s="14"/>
      <c r="MR156" s="14"/>
      <c r="MS156" s="14"/>
      <c r="MT156" s="14"/>
      <c r="MU156" s="14"/>
      <c r="MV156" s="14"/>
      <c r="MW156" s="14"/>
      <c r="MX156" s="14"/>
      <c r="MY156" s="14"/>
      <c r="MZ156" s="14"/>
      <c r="NA156" s="14"/>
      <c r="NB156" s="14"/>
      <c r="NC156" s="14"/>
      <c r="ND156" s="14"/>
      <c r="NE156" s="14"/>
      <c r="NF156" s="14"/>
      <c r="NG156" s="14"/>
      <c r="NH156" s="14"/>
      <c r="NI156" s="14"/>
      <c r="NJ156" s="14"/>
      <c r="NK156" s="14"/>
      <c r="NL156" s="14"/>
      <c r="NM156" s="3"/>
      <c r="NN156" s="3"/>
      <c r="NO156" s="3"/>
      <c r="NP156" s="3"/>
      <c r="NQ156" s="3"/>
      <c r="NR156" s="3"/>
      <c r="NS156" s="3"/>
      <c r="NT156" s="3"/>
      <c r="NU156" s="3"/>
      <c r="NV156" s="3"/>
      <c r="NW156" s="3"/>
      <c r="NX156" s="3"/>
      <c r="NY156" s="3"/>
      <c r="NZ156" s="3"/>
      <c r="OA156" s="3"/>
      <c r="OB156" s="3"/>
      <c r="OC156" s="3"/>
      <c r="OD156" s="3"/>
      <c r="OE156" s="3"/>
      <c r="OF156" s="3"/>
    </row>
    <row r="157" ht="13.5" customHeight="1">
      <c r="A157" s="2"/>
      <c r="B157" s="22"/>
      <c r="C157" s="2"/>
      <c r="D157" s="13"/>
      <c r="E157" s="3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  <c r="DM157" s="14"/>
      <c r="DN157" s="14"/>
      <c r="DO157" s="14"/>
      <c r="DP157" s="14"/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  <c r="ED157" s="14"/>
      <c r="EE157" s="14"/>
      <c r="EF157" s="14"/>
      <c r="EG157" s="14"/>
      <c r="EH157" s="14"/>
      <c r="EI157" s="14"/>
      <c r="EJ157" s="14"/>
      <c r="EK157" s="14"/>
      <c r="EL157" s="14"/>
      <c r="EM157" s="14"/>
      <c r="EN157" s="14"/>
      <c r="EO157" s="14"/>
      <c r="EP157" s="14"/>
      <c r="EQ157" s="14"/>
      <c r="ER157" s="14"/>
      <c r="ES157" s="14"/>
      <c r="ET157" s="14"/>
      <c r="EU157" s="14"/>
      <c r="EV157" s="14"/>
      <c r="EW157" s="14"/>
      <c r="EX157" s="14"/>
      <c r="EY157" s="14"/>
      <c r="EZ157" s="14"/>
      <c r="FA157" s="14"/>
      <c r="FB157" s="14"/>
      <c r="FC157" s="14"/>
      <c r="FD157" s="14"/>
      <c r="FE157" s="14"/>
      <c r="FF157" s="14"/>
      <c r="FG157" s="14"/>
      <c r="FH157" s="14"/>
      <c r="FI157" s="14"/>
      <c r="FJ157" s="14"/>
      <c r="FK157" s="14"/>
      <c r="FL157" s="14"/>
      <c r="FM157" s="14"/>
      <c r="FN157" s="14"/>
      <c r="FO157" s="14"/>
      <c r="FP157" s="14"/>
      <c r="FQ157" s="14"/>
      <c r="FR157" s="14"/>
      <c r="FS157" s="14"/>
      <c r="FT157" s="14"/>
      <c r="FU157" s="14"/>
      <c r="FV157" s="14"/>
      <c r="FW157" s="14"/>
      <c r="FX157" s="14"/>
      <c r="FY157" s="14"/>
      <c r="FZ157" s="14"/>
      <c r="GA157" s="14"/>
      <c r="GB157" s="14"/>
      <c r="GC157" s="14"/>
      <c r="GD157" s="14"/>
      <c r="GE157" s="14"/>
      <c r="GF157" s="14"/>
      <c r="GG157" s="14"/>
      <c r="GH157" s="14"/>
      <c r="GI157" s="14"/>
      <c r="GJ157" s="14"/>
      <c r="GK157" s="14"/>
      <c r="GL157" s="14"/>
      <c r="GM157" s="14"/>
      <c r="GN157" s="14"/>
      <c r="GO157" s="14"/>
      <c r="GP157" s="14"/>
      <c r="GQ157" s="14"/>
      <c r="GR157" s="14"/>
      <c r="GS157" s="14"/>
      <c r="GT157" s="14"/>
      <c r="GU157" s="14"/>
      <c r="GV157" s="14"/>
      <c r="GW157" s="14"/>
      <c r="GX157" s="14"/>
      <c r="GY157" s="14"/>
      <c r="GZ157" s="14"/>
      <c r="HA157" s="14"/>
      <c r="HB157" s="14"/>
      <c r="HC157" s="14"/>
      <c r="HD157" s="14"/>
      <c r="HE157" s="14"/>
      <c r="HF157" s="14"/>
      <c r="HG157" s="14"/>
      <c r="HH157" s="14"/>
      <c r="HI157" s="14"/>
      <c r="HJ157" s="14"/>
      <c r="HK157" s="14"/>
      <c r="HL157" s="14"/>
      <c r="HM157" s="14"/>
      <c r="HN157" s="14"/>
      <c r="HO157" s="14"/>
      <c r="HP157" s="14"/>
      <c r="HQ157" s="14"/>
      <c r="HR157" s="14"/>
      <c r="HS157" s="14"/>
      <c r="HT157" s="14"/>
      <c r="HU157" s="14"/>
      <c r="HV157" s="14"/>
      <c r="HW157" s="14"/>
      <c r="HX157" s="14"/>
      <c r="HY157" s="14"/>
      <c r="HZ157" s="14"/>
      <c r="IA157" s="14"/>
      <c r="IB157" s="14"/>
      <c r="IC157" s="14"/>
      <c r="ID157" s="14"/>
      <c r="IE157" s="14"/>
      <c r="IF157" s="14"/>
      <c r="IG157" s="14"/>
      <c r="IH157" s="14"/>
      <c r="II157" s="14"/>
      <c r="IJ157" s="14"/>
      <c r="IK157" s="14"/>
      <c r="IL157" s="14"/>
      <c r="IM157" s="14"/>
      <c r="IN157" s="14"/>
      <c r="IO157" s="14"/>
      <c r="IP157" s="14"/>
      <c r="IQ157" s="14"/>
      <c r="IR157" s="14"/>
      <c r="IS157" s="14"/>
      <c r="IT157" s="14"/>
      <c r="IU157" s="14"/>
      <c r="IV157" s="14"/>
      <c r="IW157" s="14"/>
      <c r="IX157" s="14"/>
      <c r="IY157" s="14"/>
      <c r="IZ157" s="14"/>
      <c r="JA157" s="14"/>
      <c r="JB157" s="14"/>
      <c r="JC157" s="14"/>
      <c r="JD157" s="14"/>
      <c r="JE157" s="14"/>
      <c r="JF157" s="14"/>
      <c r="JG157" s="14"/>
      <c r="JH157" s="14"/>
      <c r="JI157" s="14"/>
      <c r="JJ157" s="14"/>
      <c r="JK157" s="14"/>
      <c r="JL157" s="14"/>
      <c r="JM157" s="14"/>
      <c r="JN157" s="14"/>
      <c r="JO157" s="14"/>
      <c r="JP157" s="14"/>
      <c r="JQ157" s="14"/>
      <c r="JR157" s="14"/>
      <c r="JS157" s="14"/>
      <c r="JT157" s="14"/>
      <c r="JU157" s="14"/>
      <c r="JV157" s="14"/>
      <c r="JW157" s="14"/>
      <c r="JX157" s="14"/>
      <c r="JY157" s="14"/>
      <c r="JZ157" s="14"/>
      <c r="KA157" s="14"/>
      <c r="KB157" s="14"/>
      <c r="KC157" s="14"/>
      <c r="KD157" s="14"/>
      <c r="KE157" s="14"/>
      <c r="KF157" s="14"/>
      <c r="KG157" s="14"/>
      <c r="KH157" s="14"/>
      <c r="KI157" s="14"/>
      <c r="KJ157" s="14"/>
      <c r="KK157" s="14"/>
      <c r="KL157" s="14"/>
      <c r="KM157" s="14"/>
      <c r="KN157" s="14"/>
      <c r="KO157" s="14"/>
      <c r="KP157" s="14"/>
      <c r="KQ157" s="14"/>
      <c r="KR157" s="14"/>
      <c r="KS157" s="14"/>
      <c r="KT157" s="14"/>
      <c r="KU157" s="14"/>
      <c r="KV157" s="14"/>
      <c r="KW157" s="14"/>
      <c r="KX157" s="14"/>
      <c r="KY157" s="14"/>
      <c r="KZ157" s="14"/>
      <c r="LA157" s="14"/>
      <c r="LB157" s="14"/>
      <c r="LC157" s="14"/>
      <c r="LD157" s="14"/>
      <c r="LE157" s="14"/>
      <c r="LF157" s="14"/>
      <c r="LG157" s="14"/>
      <c r="LH157" s="14"/>
      <c r="LI157" s="14"/>
      <c r="LJ157" s="14"/>
      <c r="LK157" s="14"/>
      <c r="LL157" s="14"/>
      <c r="LM157" s="14"/>
      <c r="LN157" s="14"/>
      <c r="LO157" s="14"/>
      <c r="LP157" s="14"/>
      <c r="LQ157" s="14"/>
      <c r="LR157" s="14"/>
      <c r="LS157" s="14"/>
      <c r="LT157" s="14"/>
      <c r="LU157" s="14"/>
      <c r="LV157" s="14"/>
      <c r="LW157" s="14"/>
      <c r="LX157" s="14"/>
      <c r="LY157" s="14"/>
      <c r="LZ157" s="14"/>
      <c r="MA157" s="14"/>
      <c r="MB157" s="14"/>
      <c r="MC157" s="14"/>
      <c r="MD157" s="14"/>
      <c r="ME157" s="14"/>
      <c r="MF157" s="14"/>
      <c r="MG157" s="14"/>
      <c r="MH157" s="14"/>
      <c r="MI157" s="14"/>
      <c r="MJ157" s="14"/>
      <c r="MK157" s="14"/>
      <c r="ML157" s="14"/>
      <c r="MM157" s="14"/>
      <c r="MN157" s="14"/>
      <c r="MO157" s="14"/>
      <c r="MP157" s="14"/>
      <c r="MQ157" s="14"/>
      <c r="MR157" s="14"/>
      <c r="MS157" s="14"/>
      <c r="MT157" s="14"/>
      <c r="MU157" s="14"/>
      <c r="MV157" s="14"/>
      <c r="MW157" s="14"/>
      <c r="MX157" s="14"/>
      <c r="MY157" s="14"/>
      <c r="MZ157" s="14"/>
      <c r="NA157" s="14"/>
      <c r="NB157" s="14"/>
      <c r="NC157" s="14"/>
      <c r="ND157" s="14"/>
      <c r="NE157" s="14"/>
      <c r="NF157" s="14"/>
      <c r="NG157" s="14"/>
      <c r="NH157" s="14"/>
      <c r="NI157" s="14"/>
      <c r="NJ157" s="14"/>
      <c r="NK157" s="14"/>
      <c r="NL157" s="14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</row>
    <row r="158" ht="13.5" customHeight="1">
      <c r="A158" s="2"/>
      <c r="B158" s="22"/>
      <c r="C158" s="2"/>
      <c r="D158" s="13"/>
      <c r="E158" s="3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4"/>
      <c r="ED158" s="14"/>
      <c r="EE158" s="14"/>
      <c r="EF158" s="14"/>
      <c r="EG158" s="14"/>
      <c r="EH158" s="14"/>
      <c r="EI158" s="14"/>
      <c r="EJ158" s="14"/>
      <c r="EK158" s="14"/>
      <c r="EL158" s="14"/>
      <c r="EM158" s="14"/>
      <c r="EN158" s="14"/>
      <c r="EO158" s="14"/>
      <c r="EP158" s="14"/>
      <c r="EQ158" s="14"/>
      <c r="ER158" s="14"/>
      <c r="ES158" s="14"/>
      <c r="ET158" s="14"/>
      <c r="EU158" s="14"/>
      <c r="EV158" s="14"/>
      <c r="EW158" s="14"/>
      <c r="EX158" s="14"/>
      <c r="EY158" s="14"/>
      <c r="EZ158" s="14"/>
      <c r="FA158" s="14"/>
      <c r="FB158" s="14"/>
      <c r="FC158" s="14"/>
      <c r="FD158" s="14"/>
      <c r="FE158" s="14"/>
      <c r="FF158" s="14"/>
      <c r="FG158" s="14"/>
      <c r="FH158" s="14"/>
      <c r="FI158" s="14"/>
      <c r="FJ158" s="14"/>
      <c r="FK158" s="14"/>
      <c r="FL158" s="14"/>
      <c r="FM158" s="14"/>
      <c r="FN158" s="14"/>
      <c r="FO158" s="14"/>
      <c r="FP158" s="14"/>
      <c r="FQ158" s="14"/>
      <c r="FR158" s="14"/>
      <c r="FS158" s="14"/>
      <c r="FT158" s="14"/>
      <c r="FU158" s="14"/>
      <c r="FV158" s="14"/>
      <c r="FW158" s="14"/>
      <c r="FX158" s="14"/>
      <c r="FY158" s="14"/>
      <c r="FZ158" s="14"/>
      <c r="GA158" s="14"/>
      <c r="GB158" s="14"/>
      <c r="GC158" s="14"/>
      <c r="GD158" s="14"/>
      <c r="GE158" s="14"/>
      <c r="GF158" s="14"/>
      <c r="GG158" s="14"/>
      <c r="GH158" s="14"/>
      <c r="GI158" s="14"/>
      <c r="GJ158" s="14"/>
      <c r="GK158" s="14"/>
      <c r="GL158" s="14"/>
      <c r="GM158" s="14"/>
      <c r="GN158" s="14"/>
      <c r="GO158" s="14"/>
      <c r="GP158" s="14"/>
      <c r="GQ158" s="14"/>
      <c r="GR158" s="14"/>
      <c r="GS158" s="14"/>
      <c r="GT158" s="14"/>
      <c r="GU158" s="14"/>
      <c r="GV158" s="14"/>
      <c r="GW158" s="14"/>
      <c r="GX158" s="14"/>
      <c r="GY158" s="14"/>
      <c r="GZ158" s="14"/>
      <c r="HA158" s="14"/>
      <c r="HB158" s="14"/>
      <c r="HC158" s="14"/>
      <c r="HD158" s="14"/>
      <c r="HE158" s="14"/>
      <c r="HF158" s="14"/>
      <c r="HG158" s="14"/>
      <c r="HH158" s="14"/>
      <c r="HI158" s="14"/>
      <c r="HJ158" s="14"/>
      <c r="HK158" s="14"/>
      <c r="HL158" s="14"/>
      <c r="HM158" s="14"/>
      <c r="HN158" s="14"/>
      <c r="HO158" s="14"/>
      <c r="HP158" s="14"/>
      <c r="HQ158" s="14"/>
      <c r="HR158" s="14"/>
      <c r="HS158" s="14"/>
      <c r="HT158" s="14"/>
      <c r="HU158" s="14"/>
      <c r="HV158" s="14"/>
      <c r="HW158" s="14"/>
      <c r="HX158" s="14"/>
      <c r="HY158" s="14"/>
      <c r="HZ158" s="14"/>
      <c r="IA158" s="14"/>
      <c r="IB158" s="14"/>
      <c r="IC158" s="14"/>
      <c r="ID158" s="14"/>
      <c r="IE158" s="14"/>
      <c r="IF158" s="14"/>
      <c r="IG158" s="14"/>
      <c r="IH158" s="14"/>
      <c r="II158" s="14"/>
      <c r="IJ158" s="14"/>
      <c r="IK158" s="14"/>
      <c r="IL158" s="14"/>
      <c r="IM158" s="14"/>
      <c r="IN158" s="14"/>
      <c r="IO158" s="14"/>
      <c r="IP158" s="14"/>
      <c r="IQ158" s="14"/>
      <c r="IR158" s="14"/>
      <c r="IS158" s="14"/>
      <c r="IT158" s="14"/>
      <c r="IU158" s="14"/>
      <c r="IV158" s="14"/>
      <c r="IW158" s="14"/>
      <c r="IX158" s="14"/>
      <c r="IY158" s="14"/>
      <c r="IZ158" s="14"/>
      <c r="JA158" s="14"/>
      <c r="JB158" s="14"/>
      <c r="JC158" s="14"/>
      <c r="JD158" s="14"/>
      <c r="JE158" s="14"/>
      <c r="JF158" s="14"/>
      <c r="JG158" s="14"/>
      <c r="JH158" s="14"/>
      <c r="JI158" s="14"/>
      <c r="JJ158" s="14"/>
      <c r="JK158" s="14"/>
      <c r="JL158" s="14"/>
      <c r="JM158" s="14"/>
      <c r="JN158" s="14"/>
      <c r="JO158" s="14"/>
      <c r="JP158" s="14"/>
      <c r="JQ158" s="14"/>
      <c r="JR158" s="14"/>
      <c r="JS158" s="14"/>
      <c r="JT158" s="14"/>
      <c r="JU158" s="14"/>
      <c r="JV158" s="14"/>
      <c r="JW158" s="14"/>
      <c r="JX158" s="14"/>
      <c r="JY158" s="14"/>
      <c r="JZ158" s="14"/>
      <c r="KA158" s="14"/>
      <c r="KB158" s="14"/>
      <c r="KC158" s="14"/>
      <c r="KD158" s="14"/>
      <c r="KE158" s="14"/>
      <c r="KF158" s="14"/>
      <c r="KG158" s="14"/>
      <c r="KH158" s="14"/>
      <c r="KI158" s="14"/>
      <c r="KJ158" s="14"/>
      <c r="KK158" s="14"/>
      <c r="KL158" s="14"/>
      <c r="KM158" s="14"/>
      <c r="KN158" s="14"/>
      <c r="KO158" s="14"/>
      <c r="KP158" s="14"/>
      <c r="KQ158" s="14"/>
      <c r="KR158" s="14"/>
      <c r="KS158" s="14"/>
      <c r="KT158" s="14"/>
      <c r="KU158" s="14"/>
      <c r="KV158" s="14"/>
      <c r="KW158" s="14"/>
      <c r="KX158" s="14"/>
      <c r="KY158" s="14"/>
      <c r="KZ158" s="14"/>
      <c r="LA158" s="14"/>
      <c r="LB158" s="14"/>
      <c r="LC158" s="14"/>
      <c r="LD158" s="14"/>
      <c r="LE158" s="14"/>
      <c r="LF158" s="14"/>
      <c r="LG158" s="14"/>
      <c r="LH158" s="14"/>
      <c r="LI158" s="14"/>
      <c r="LJ158" s="14"/>
      <c r="LK158" s="14"/>
      <c r="LL158" s="14"/>
      <c r="LM158" s="14"/>
      <c r="LN158" s="14"/>
      <c r="LO158" s="14"/>
      <c r="LP158" s="14"/>
      <c r="LQ158" s="14"/>
      <c r="LR158" s="14"/>
      <c r="LS158" s="14"/>
      <c r="LT158" s="14"/>
      <c r="LU158" s="14"/>
      <c r="LV158" s="14"/>
      <c r="LW158" s="14"/>
      <c r="LX158" s="14"/>
      <c r="LY158" s="14"/>
      <c r="LZ158" s="14"/>
      <c r="MA158" s="14"/>
      <c r="MB158" s="14"/>
      <c r="MC158" s="14"/>
      <c r="MD158" s="14"/>
      <c r="ME158" s="14"/>
      <c r="MF158" s="14"/>
      <c r="MG158" s="14"/>
      <c r="MH158" s="14"/>
      <c r="MI158" s="14"/>
      <c r="MJ158" s="14"/>
      <c r="MK158" s="14"/>
      <c r="ML158" s="14"/>
      <c r="MM158" s="14"/>
      <c r="MN158" s="14"/>
      <c r="MO158" s="14"/>
      <c r="MP158" s="14"/>
      <c r="MQ158" s="14"/>
      <c r="MR158" s="14"/>
      <c r="MS158" s="14"/>
      <c r="MT158" s="14"/>
      <c r="MU158" s="14"/>
      <c r="MV158" s="14"/>
      <c r="MW158" s="14"/>
      <c r="MX158" s="14"/>
      <c r="MY158" s="14"/>
      <c r="MZ158" s="14"/>
      <c r="NA158" s="14"/>
      <c r="NB158" s="14"/>
      <c r="NC158" s="14"/>
      <c r="ND158" s="14"/>
      <c r="NE158" s="14"/>
      <c r="NF158" s="14"/>
      <c r="NG158" s="14"/>
      <c r="NH158" s="14"/>
      <c r="NI158" s="14"/>
      <c r="NJ158" s="14"/>
      <c r="NK158" s="14"/>
      <c r="NL158" s="14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</row>
    <row r="159" ht="13.5" customHeight="1">
      <c r="A159" s="2"/>
      <c r="B159" s="22"/>
      <c r="C159" s="2"/>
      <c r="D159" s="13"/>
      <c r="E159" s="3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  <c r="DM159" s="14"/>
      <c r="DN159" s="14"/>
      <c r="DO159" s="14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4"/>
      <c r="EJ159" s="14"/>
      <c r="EK159" s="14"/>
      <c r="EL159" s="14"/>
      <c r="EM159" s="14"/>
      <c r="EN159" s="14"/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  <c r="EY159" s="14"/>
      <c r="EZ159" s="14"/>
      <c r="FA159" s="14"/>
      <c r="FB159" s="14"/>
      <c r="FC159" s="14"/>
      <c r="FD159" s="14"/>
      <c r="FE159" s="14"/>
      <c r="FF159" s="14"/>
      <c r="FG159" s="14"/>
      <c r="FH159" s="14"/>
      <c r="FI159" s="14"/>
      <c r="FJ159" s="14"/>
      <c r="FK159" s="14"/>
      <c r="FL159" s="14"/>
      <c r="FM159" s="14"/>
      <c r="FN159" s="14"/>
      <c r="FO159" s="14"/>
      <c r="FP159" s="14"/>
      <c r="FQ159" s="14"/>
      <c r="FR159" s="14"/>
      <c r="FS159" s="14"/>
      <c r="FT159" s="14"/>
      <c r="FU159" s="14"/>
      <c r="FV159" s="14"/>
      <c r="FW159" s="14"/>
      <c r="FX159" s="14"/>
      <c r="FY159" s="14"/>
      <c r="FZ159" s="14"/>
      <c r="GA159" s="14"/>
      <c r="GB159" s="14"/>
      <c r="GC159" s="14"/>
      <c r="GD159" s="14"/>
      <c r="GE159" s="14"/>
      <c r="GF159" s="14"/>
      <c r="GG159" s="14"/>
      <c r="GH159" s="14"/>
      <c r="GI159" s="14"/>
      <c r="GJ159" s="14"/>
      <c r="GK159" s="14"/>
      <c r="GL159" s="14"/>
      <c r="GM159" s="14"/>
      <c r="GN159" s="14"/>
      <c r="GO159" s="14"/>
      <c r="GP159" s="14"/>
      <c r="GQ159" s="14"/>
      <c r="GR159" s="14"/>
      <c r="GS159" s="14"/>
      <c r="GT159" s="14"/>
      <c r="GU159" s="14"/>
      <c r="GV159" s="14"/>
      <c r="GW159" s="14"/>
      <c r="GX159" s="14"/>
      <c r="GY159" s="14"/>
      <c r="GZ159" s="14"/>
      <c r="HA159" s="14"/>
      <c r="HB159" s="14"/>
      <c r="HC159" s="14"/>
      <c r="HD159" s="14"/>
      <c r="HE159" s="14"/>
      <c r="HF159" s="14"/>
      <c r="HG159" s="14"/>
      <c r="HH159" s="14"/>
      <c r="HI159" s="14"/>
      <c r="HJ159" s="14"/>
      <c r="HK159" s="14"/>
      <c r="HL159" s="14"/>
      <c r="HM159" s="14"/>
      <c r="HN159" s="14"/>
      <c r="HO159" s="14"/>
      <c r="HP159" s="14"/>
      <c r="HQ159" s="14"/>
      <c r="HR159" s="14"/>
      <c r="HS159" s="14"/>
      <c r="HT159" s="14"/>
      <c r="HU159" s="14"/>
      <c r="HV159" s="14"/>
      <c r="HW159" s="14"/>
      <c r="HX159" s="14"/>
      <c r="HY159" s="14"/>
      <c r="HZ159" s="14"/>
      <c r="IA159" s="14"/>
      <c r="IB159" s="14"/>
      <c r="IC159" s="14"/>
      <c r="ID159" s="14"/>
      <c r="IE159" s="14"/>
      <c r="IF159" s="14"/>
      <c r="IG159" s="14"/>
      <c r="IH159" s="14"/>
      <c r="II159" s="14"/>
      <c r="IJ159" s="14"/>
      <c r="IK159" s="14"/>
      <c r="IL159" s="14"/>
      <c r="IM159" s="14"/>
      <c r="IN159" s="14"/>
      <c r="IO159" s="14"/>
      <c r="IP159" s="14"/>
      <c r="IQ159" s="14"/>
      <c r="IR159" s="14"/>
      <c r="IS159" s="14"/>
      <c r="IT159" s="14"/>
      <c r="IU159" s="14"/>
      <c r="IV159" s="14"/>
      <c r="IW159" s="14"/>
      <c r="IX159" s="14"/>
      <c r="IY159" s="14"/>
      <c r="IZ159" s="14"/>
      <c r="JA159" s="14"/>
      <c r="JB159" s="14"/>
      <c r="JC159" s="14"/>
      <c r="JD159" s="14"/>
      <c r="JE159" s="14"/>
      <c r="JF159" s="14"/>
      <c r="JG159" s="14"/>
      <c r="JH159" s="14"/>
      <c r="JI159" s="14"/>
      <c r="JJ159" s="14"/>
      <c r="JK159" s="14"/>
      <c r="JL159" s="14"/>
      <c r="JM159" s="14"/>
      <c r="JN159" s="14"/>
      <c r="JO159" s="14"/>
      <c r="JP159" s="14"/>
      <c r="JQ159" s="14"/>
      <c r="JR159" s="14"/>
      <c r="JS159" s="14"/>
      <c r="JT159" s="14"/>
      <c r="JU159" s="14"/>
      <c r="JV159" s="14"/>
      <c r="JW159" s="14"/>
      <c r="JX159" s="14"/>
      <c r="JY159" s="14"/>
      <c r="JZ159" s="14"/>
      <c r="KA159" s="14"/>
      <c r="KB159" s="14"/>
      <c r="KC159" s="14"/>
      <c r="KD159" s="14"/>
      <c r="KE159" s="14"/>
      <c r="KF159" s="14"/>
      <c r="KG159" s="14"/>
      <c r="KH159" s="14"/>
      <c r="KI159" s="14"/>
      <c r="KJ159" s="14"/>
      <c r="KK159" s="14"/>
      <c r="KL159" s="14"/>
      <c r="KM159" s="14"/>
      <c r="KN159" s="14"/>
      <c r="KO159" s="14"/>
      <c r="KP159" s="14"/>
      <c r="KQ159" s="14"/>
      <c r="KR159" s="14"/>
      <c r="KS159" s="14"/>
      <c r="KT159" s="14"/>
      <c r="KU159" s="14"/>
      <c r="KV159" s="14"/>
      <c r="KW159" s="14"/>
      <c r="KX159" s="14"/>
      <c r="KY159" s="14"/>
      <c r="KZ159" s="14"/>
      <c r="LA159" s="14"/>
      <c r="LB159" s="14"/>
      <c r="LC159" s="14"/>
      <c r="LD159" s="14"/>
      <c r="LE159" s="14"/>
      <c r="LF159" s="14"/>
      <c r="LG159" s="14"/>
      <c r="LH159" s="14"/>
      <c r="LI159" s="14"/>
      <c r="LJ159" s="14"/>
      <c r="LK159" s="14"/>
      <c r="LL159" s="14"/>
      <c r="LM159" s="14"/>
      <c r="LN159" s="14"/>
      <c r="LO159" s="14"/>
      <c r="LP159" s="14"/>
      <c r="LQ159" s="14"/>
      <c r="LR159" s="14"/>
      <c r="LS159" s="14"/>
      <c r="LT159" s="14"/>
      <c r="LU159" s="14"/>
      <c r="LV159" s="14"/>
      <c r="LW159" s="14"/>
      <c r="LX159" s="14"/>
      <c r="LY159" s="14"/>
      <c r="LZ159" s="14"/>
      <c r="MA159" s="14"/>
      <c r="MB159" s="14"/>
      <c r="MC159" s="14"/>
      <c r="MD159" s="14"/>
      <c r="ME159" s="14"/>
      <c r="MF159" s="14"/>
      <c r="MG159" s="14"/>
      <c r="MH159" s="14"/>
      <c r="MI159" s="14"/>
      <c r="MJ159" s="14"/>
      <c r="MK159" s="14"/>
      <c r="ML159" s="14"/>
      <c r="MM159" s="14"/>
      <c r="MN159" s="14"/>
      <c r="MO159" s="14"/>
      <c r="MP159" s="14"/>
      <c r="MQ159" s="14"/>
      <c r="MR159" s="14"/>
      <c r="MS159" s="14"/>
      <c r="MT159" s="14"/>
      <c r="MU159" s="14"/>
      <c r="MV159" s="14"/>
      <c r="MW159" s="14"/>
      <c r="MX159" s="14"/>
      <c r="MY159" s="14"/>
      <c r="MZ159" s="14"/>
      <c r="NA159" s="14"/>
      <c r="NB159" s="14"/>
      <c r="NC159" s="14"/>
      <c r="ND159" s="14"/>
      <c r="NE159" s="14"/>
      <c r="NF159" s="14"/>
      <c r="NG159" s="14"/>
      <c r="NH159" s="14"/>
      <c r="NI159" s="14"/>
      <c r="NJ159" s="14"/>
      <c r="NK159" s="14"/>
      <c r="NL159" s="14"/>
      <c r="NM159" s="3"/>
      <c r="NN159" s="3"/>
      <c r="NO159" s="3"/>
      <c r="NP159" s="3"/>
      <c r="NQ159" s="3"/>
      <c r="NR159" s="3"/>
      <c r="NS159" s="3"/>
      <c r="NT159" s="3"/>
      <c r="NU159" s="3"/>
      <c r="NV159" s="3"/>
      <c r="NW159" s="3"/>
      <c r="NX159" s="3"/>
      <c r="NY159" s="3"/>
      <c r="NZ159" s="3"/>
      <c r="OA159" s="3"/>
      <c r="OB159" s="3"/>
      <c r="OC159" s="3"/>
      <c r="OD159" s="3"/>
      <c r="OE159" s="3"/>
      <c r="OF159" s="3"/>
    </row>
    <row r="160" ht="13.5" customHeight="1">
      <c r="A160" s="2"/>
      <c r="B160" s="22"/>
      <c r="C160" s="2"/>
      <c r="D160" s="13"/>
      <c r="E160" s="3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4"/>
      <c r="DJ160" s="14"/>
      <c r="DK160" s="14"/>
      <c r="DL160" s="14"/>
      <c r="DM160" s="14"/>
      <c r="DN160" s="14"/>
      <c r="DO160" s="14"/>
      <c r="DP160" s="14"/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14"/>
      <c r="EH160" s="14"/>
      <c r="EI160" s="14"/>
      <c r="EJ160" s="14"/>
      <c r="EK160" s="14"/>
      <c r="EL160" s="14"/>
      <c r="EM160" s="14"/>
      <c r="EN160" s="14"/>
      <c r="EO160" s="14"/>
      <c r="EP160" s="14"/>
      <c r="EQ160" s="14"/>
      <c r="ER160" s="14"/>
      <c r="ES160" s="14"/>
      <c r="ET160" s="14"/>
      <c r="EU160" s="14"/>
      <c r="EV160" s="14"/>
      <c r="EW160" s="14"/>
      <c r="EX160" s="14"/>
      <c r="EY160" s="14"/>
      <c r="EZ160" s="14"/>
      <c r="FA160" s="14"/>
      <c r="FB160" s="14"/>
      <c r="FC160" s="14"/>
      <c r="FD160" s="14"/>
      <c r="FE160" s="14"/>
      <c r="FF160" s="14"/>
      <c r="FG160" s="14"/>
      <c r="FH160" s="14"/>
      <c r="FI160" s="14"/>
      <c r="FJ160" s="14"/>
      <c r="FK160" s="14"/>
      <c r="FL160" s="14"/>
      <c r="FM160" s="14"/>
      <c r="FN160" s="14"/>
      <c r="FO160" s="14"/>
      <c r="FP160" s="14"/>
      <c r="FQ160" s="14"/>
      <c r="FR160" s="14"/>
      <c r="FS160" s="14"/>
      <c r="FT160" s="14"/>
      <c r="FU160" s="14"/>
      <c r="FV160" s="14"/>
      <c r="FW160" s="14"/>
      <c r="FX160" s="14"/>
      <c r="FY160" s="14"/>
      <c r="FZ160" s="14"/>
      <c r="GA160" s="14"/>
      <c r="GB160" s="14"/>
      <c r="GC160" s="14"/>
      <c r="GD160" s="14"/>
      <c r="GE160" s="14"/>
      <c r="GF160" s="14"/>
      <c r="GG160" s="14"/>
      <c r="GH160" s="14"/>
      <c r="GI160" s="14"/>
      <c r="GJ160" s="14"/>
      <c r="GK160" s="14"/>
      <c r="GL160" s="14"/>
      <c r="GM160" s="14"/>
      <c r="GN160" s="14"/>
      <c r="GO160" s="14"/>
      <c r="GP160" s="14"/>
      <c r="GQ160" s="14"/>
      <c r="GR160" s="14"/>
      <c r="GS160" s="14"/>
      <c r="GT160" s="14"/>
      <c r="GU160" s="14"/>
      <c r="GV160" s="14"/>
      <c r="GW160" s="14"/>
      <c r="GX160" s="14"/>
      <c r="GY160" s="14"/>
      <c r="GZ160" s="14"/>
      <c r="HA160" s="14"/>
      <c r="HB160" s="14"/>
      <c r="HC160" s="14"/>
      <c r="HD160" s="14"/>
      <c r="HE160" s="14"/>
      <c r="HF160" s="14"/>
      <c r="HG160" s="14"/>
      <c r="HH160" s="14"/>
      <c r="HI160" s="14"/>
      <c r="HJ160" s="14"/>
      <c r="HK160" s="14"/>
      <c r="HL160" s="14"/>
      <c r="HM160" s="14"/>
      <c r="HN160" s="14"/>
      <c r="HO160" s="14"/>
      <c r="HP160" s="14"/>
      <c r="HQ160" s="14"/>
      <c r="HR160" s="14"/>
      <c r="HS160" s="14"/>
      <c r="HT160" s="14"/>
      <c r="HU160" s="14"/>
      <c r="HV160" s="14"/>
      <c r="HW160" s="14"/>
      <c r="HX160" s="14"/>
      <c r="HY160" s="14"/>
      <c r="HZ160" s="14"/>
      <c r="IA160" s="14"/>
      <c r="IB160" s="14"/>
      <c r="IC160" s="14"/>
      <c r="ID160" s="14"/>
      <c r="IE160" s="14"/>
      <c r="IF160" s="14"/>
      <c r="IG160" s="14"/>
      <c r="IH160" s="14"/>
      <c r="II160" s="14"/>
      <c r="IJ160" s="14"/>
      <c r="IK160" s="14"/>
      <c r="IL160" s="14"/>
      <c r="IM160" s="14"/>
      <c r="IN160" s="14"/>
      <c r="IO160" s="14"/>
      <c r="IP160" s="14"/>
      <c r="IQ160" s="14"/>
      <c r="IR160" s="14"/>
      <c r="IS160" s="14"/>
      <c r="IT160" s="14"/>
      <c r="IU160" s="14"/>
      <c r="IV160" s="14"/>
      <c r="IW160" s="14"/>
      <c r="IX160" s="14"/>
      <c r="IY160" s="14"/>
      <c r="IZ160" s="14"/>
      <c r="JA160" s="14"/>
      <c r="JB160" s="14"/>
      <c r="JC160" s="14"/>
      <c r="JD160" s="14"/>
      <c r="JE160" s="14"/>
      <c r="JF160" s="14"/>
      <c r="JG160" s="14"/>
      <c r="JH160" s="14"/>
      <c r="JI160" s="14"/>
      <c r="JJ160" s="14"/>
      <c r="JK160" s="14"/>
      <c r="JL160" s="14"/>
      <c r="JM160" s="14"/>
      <c r="JN160" s="14"/>
      <c r="JO160" s="14"/>
      <c r="JP160" s="14"/>
      <c r="JQ160" s="14"/>
      <c r="JR160" s="14"/>
      <c r="JS160" s="14"/>
      <c r="JT160" s="14"/>
      <c r="JU160" s="14"/>
      <c r="JV160" s="14"/>
      <c r="JW160" s="14"/>
      <c r="JX160" s="14"/>
      <c r="JY160" s="14"/>
      <c r="JZ160" s="14"/>
      <c r="KA160" s="14"/>
      <c r="KB160" s="14"/>
      <c r="KC160" s="14"/>
      <c r="KD160" s="14"/>
      <c r="KE160" s="14"/>
      <c r="KF160" s="14"/>
      <c r="KG160" s="14"/>
      <c r="KH160" s="14"/>
      <c r="KI160" s="14"/>
      <c r="KJ160" s="14"/>
      <c r="KK160" s="14"/>
      <c r="KL160" s="14"/>
      <c r="KM160" s="14"/>
      <c r="KN160" s="14"/>
      <c r="KO160" s="14"/>
      <c r="KP160" s="14"/>
      <c r="KQ160" s="14"/>
      <c r="KR160" s="14"/>
      <c r="KS160" s="14"/>
      <c r="KT160" s="14"/>
      <c r="KU160" s="14"/>
      <c r="KV160" s="14"/>
      <c r="KW160" s="14"/>
      <c r="KX160" s="14"/>
      <c r="KY160" s="14"/>
      <c r="KZ160" s="14"/>
      <c r="LA160" s="14"/>
      <c r="LB160" s="14"/>
      <c r="LC160" s="14"/>
      <c r="LD160" s="14"/>
      <c r="LE160" s="14"/>
      <c r="LF160" s="14"/>
      <c r="LG160" s="14"/>
      <c r="LH160" s="14"/>
      <c r="LI160" s="14"/>
      <c r="LJ160" s="14"/>
      <c r="LK160" s="14"/>
      <c r="LL160" s="14"/>
      <c r="LM160" s="14"/>
      <c r="LN160" s="14"/>
      <c r="LO160" s="14"/>
      <c r="LP160" s="14"/>
      <c r="LQ160" s="14"/>
      <c r="LR160" s="14"/>
      <c r="LS160" s="14"/>
      <c r="LT160" s="14"/>
      <c r="LU160" s="14"/>
      <c r="LV160" s="14"/>
      <c r="LW160" s="14"/>
      <c r="LX160" s="14"/>
      <c r="LY160" s="14"/>
      <c r="LZ160" s="14"/>
      <c r="MA160" s="14"/>
      <c r="MB160" s="14"/>
      <c r="MC160" s="14"/>
      <c r="MD160" s="14"/>
      <c r="ME160" s="14"/>
      <c r="MF160" s="14"/>
      <c r="MG160" s="14"/>
      <c r="MH160" s="14"/>
      <c r="MI160" s="14"/>
      <c r="MJ160" s="14"/>
      <c r="MK160" s="14"/>
      <c r="ML160" s="14"/>
      <c r="MM160" s="14"/>
      <c r="MN160" s="14"/>
      <c r="MO160" s="14"/>
      <c r="MP160" s="14"/>
      <c r="MQ160" s="14"/>
      <c r="MR160" s="14"/>
      <c r="MS160" s="14"/>
      <c r="MT160" s="14"/>
      <c r="MU160" s="14"/>
      <c r="MV160" s="14"/>
      <c r="MW160" s="14"/>
      <c r="MX160" s="14"/>
      <c r="MY160" s="14"/>
      <c r="MZ160" s="14"/>
      <c r="NA160" s="14"/>
      <c r="NB160" s="14"/>
      <c r="NC160" s="14"/>
      <c r="ND160" s="14"/>
      <c r="NE160" s="14"/>
      <c r="NF160" s="14"/>
      <c r="NG160" s="14"/>
      <c r="NH160" s="14"/>
      <c r="NI160" s="14"/>
      <c r="NJ160" s="14"/>
      <c r="NK160" s="14"/>
      <c r="NL160" s="14"/>
      <c r="NM160" s="3"/>
      <c r="NN160" s="3"/>
      <c r="NO160" s="3"/>
      <c r="NP160" s="3"/>
      <c r="NQ160" s="3"/>
      <c r="NR160" s="3"/>
      <c r="NS160" s="3"/>
      <c r="NT160" s="3"/>
      <c r="NU160" s="3"/>
      <c r="NV160" s="3"/>
      <c r="NW160" s="3"/>
      <c r="NX160" s="3"/>
      <c r="NY160" s="3"/>
      <c r="NZ160" s="3"/>
      <c r="OA160" s="3"/>
      <c r="OB160" s="3"/>
      <c r="OC160" s="3"/>
      <c r="OD160" s="3"/>
      <c r="OE160" s="3"/>
      <c r="OF160" s="3"/>
    </row>
    <row r="161" ht="13.5" customHeight="1">
      <c r="A161" s="2"/>
      <c r="B161" s="22"/>
      <c r="C161" s="2"/>
      <c r="D161" s="13"/>
      <c r="E161" s="3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  <c r="DI161" s="14"/>
      <c r="DJ161" s="14"/>
      <c r="DK161" s="14"/>
      <c r="DL161" s="14"/>
      <c r="DM161" s="14"/>
      <c r="DN161" s="14"/>
      <c r="DO161" s="14"/>
      <c r="DP161" s="14"/>
      <c r="DQ161" s="14"/>
      <c r="DR161" s="14"/>
      <c r="DS161" s="14"/>
      <c r="DT161" s="14"/>
      <c r="DU161" s="14"/>
      <c r="DV161" s="14"/>
      <c r="DW161" s="14"/>
      <c r="DX161" s="14"/>
      <c r="DY161" s="14"/>
      <c r="DZ161" s="14"/>
      <c r="EA161" s="14"/>
      <c r="EB161" s="14"/>
      <c r="EC161" s="14"/>
      <c r="ED161" s="14"/>
      <c r="EE161" s="14"/>
      <c r="EF161" s="14"/>
      <c r="EG161" s="14"/>
      <c r="EH161" s="14"/>
      <c r="EI161" s="14"/>
      <c r="EJ161" s="14"/>
      <c r="EK161" s="14"/>
      <c r="EL161" s="14"/>
      <c r="EM161" s="14"/>
      <c r="EN161" s="14"/>
      <c r="EO161" s="14"/>
      <c r="EP161" s="14"/>
      <c r="EQ161" s="14"/>
      <c r="ER161" s="14"/>
      <c r="ES161" s="14"/>
      <c r="ET161" s="14"/>
      <c r="EU161" s="14"/>
      <c r="EV161" s="14"/>
      <c r="EW161" s="14"/>
      <c r="EX161" s="14"/>
      <c r="EY161" s="14"/>
      <c r="EZ161" s="14"/>
      <c r="FA161" s="14"/>
      <c r="FB161" s="14"/>
      <c r="FC161" s="14"/>
      <c r="FD161" s="14"/>
      <c r="FE161" s="14"/>
      <c r="FF161" s="14"/>
      <c r="FG161" s="14"/>
      <c r="FH161" s="14"/>
      <c r="FI161" s="14"/>
      <c r="FJ161" s="14"/>
      <c r="FK161" s="14"/>
      <c r="FL161" s="14"/>
      <c r="FM161" s="14"/>
      <c r="FN161" s="14"/>
      <c r="FO161" s="14"/>
      <c r="FP161" s="14"/>
      <c r="FQ161" s="14"/>
      <c r="FR161" s="14"/>
      <c r="FS161" s="14"/>
      <c r="FT161" s="14"/>
      <c r="FU161" s="14"/>
      <c r="FV161" s="14"/>
      <c r="FW161" s="14"/>
      <c r="FX161" s="14"/>
      <c r="FY161" s="14"/>
      <c r="FZ161" s="14"/>
      <c r="GA161" s="14"/>
      <c r="GB161" s="14"/>
      <c r="GC161" s="14"/>
      <c r="GD161" s="14"/>
      <c r="GE161" s="14"/>
      <c r="GF161" s="14"/>
      <c r="GG161" s="14"/>
      <c r="GH161" s="14"/>
      <c r="GI161" s="14"/>
      <c r="GJ161" s="14"/>
      <c r="GK161" s="14"/>
      <c r="GL161" s="14"/>
      <c r="GM161" s="14"/>
      <c r="GN161" s="14"/>
      <c r="GO161" s="14"/>
      <c r="GP161" s="14"/>
      <c r="GQ161" s="14"/>
      <c r="GR161" s="14"/>
      <c r="GS161" s="14"/>
      <c r="GT161" s="14"/>
      <c r="GU161" s="14"/>
      <c r="GV161" s="14"/>
      <c r="GW161" s="14"/>
      <c r="GX161" s="14"/>
      <c r="GY161" s="14"/>
      <c r="GZ161" s="14"/>
      <c r="HA161" s="14"/>
      <c r="HB161" s="14"/>
      <c r="HC161" s="14"/>
      <c r="HD161" s="14"/>
      <c r="HE161" s="14"/>
      <c r="HF161" s="14"/>
      <c r="HG161" s="14"/>
      <c r="HH161" s="14"/>
      <c r="HI161" s="14"/>
      <c r="HJ161" s="14"/>
      <c r="HK161" s="14"/>
      <c r="HL161" s="14"/>
      <c r="HM161" s="14"/>
      <c r="HN161" s="14"/>
      <c r="HO161" s="14"/>
      <c r="HP161" s="14"/>
      <c r="HQ161" s="14"/>
      <c r="HR161" s="14"/>
      <c r="HS161" s="14"/>
      <c r="HT161" s="14"/>
      <c r="HU161" s="14"/>
      <c r="HV161" s="14"/>
      <c r="HW161" s="14"/>
      <c r="HX161" s="14"/>
      <c r="HY161" s="14"/>
      <c r="HZ161" s="14"/>
      <c r="IA161" s="14"/>
      <c r="IB161" s="14"/>
      <c r="IC161" s="14"/>
      <c r="ID161" s="14"/>
      <c r="IE161" s="14"/>
      <c r="IF161" s="14"/>
      <c r="IG161" s="14"/>
      <c r="IH161" s="14"/>
      <c r="II161" s="14"/>
      <c r="IJ161" s="14"/>
      <c r="IK161" s="14"/>
      <c r="IL161" s="14"/>
      <c r="IM161" s="14"/>
      <c r="IN161" s="14"/>
      <c r="IO161" s="14"/>
      <c r="IP161" s="14"/>
      <c r="IQ161" s="14"/>
      <c r="IR161" s="14"/>
      <c r="IS161" s="14"/>
      <c r="IT161" s="14"/>
      <c r="IU161" s="14"/>
      <c r="IV161" s="14"/>
      <c r="IW161" s="14"/>
      <c r="IX161" s="14"/>
      <c r="IY161" s="14"/>
      <c r="IZ161" s="14"/>
      <c r="JA161" s="14"/>
      <c r="JB161" s="14"/>
      <c r="JC161" s="14"/>
      <c r="JD161" s="14"/>
      <c r="JE161" s="14"/>
      <c r="JF161" s="14"/>
      <c r="JG161" s="14"/>
      <c r="JH161" s="14"/>
      <c r="JI161" s="14"/>
      <c r="JJ161" s="14"/>
      <c r="JK161" s="14"/>
      <c r="JL161" s="14"/>
      <c r="JM161" s="14"/>
      <c r="JN161" s="14"/>
      <c r="JO161" s="14"/>
      <c r="JP161" s="14"/>
      <c r="JQ161" s="14"/>
      <c r="JR161" s="14"/>
      <c r="JS161" s="14"/>
      <c r="JT161" s="14"/>
      <c r="JU161" s="14"/>
      <c r="JV161" s="14"/>
      <c r="JW161" s="14"/>
      <c r="JX161" s="14"/>
      <c r="JY161" s="14"/>
      <c r="JZ161" s="14"/>
      <c r="KA161" s="14"/>
      <c r="KB161" s="14"/>
      <c r="KC161" s="14"/>
      <c r="KD161" s="14"/>
      <c r="KE161" s="14"/>
      <c r="KF161" s="14"/>
      <c r="KG161" s="14"/>
      <c r="KH161" s="14"/>
      <c r="KI161" s="14"/>
      <c r="KJ161" s="14"/>
      <c r="KK161" s="14"/>
      <c r="KL161" s="14"/>
      <c r="KM161" s="14"/>
      <c r="KN161" s="14"/>
      <c r="KO161" s="14"/>
      <c r="KP161" s="14"/>
      <c r="KQ161" s="14"/>
      <c r="KR161" s="14"/>
      <c r="KS161" s="14"/>
      <c r="KT161" s="14"/>
      <c r="KU161" s="14"/>
      <c r="KV161" s="14"/>
      <c r="KW161" s="14"/>
      <c r="KX161" s="14"/>
      <c r="KY161" s="14"/>
      <c r="KZ161" s="14"/>
      <c r="LA161" s="14"/>
      <c r="LB161" s="14"/>
      <c r="LC161" s="14"/>
      <c r="LD161" s="14"/>
      <c r="LE161" s="14"/>
      <c r="LF161" s="14"/>
      <c r="LG161" s="14"/>
      <c r="LH161" s="14"/>
      <c r="LI161" s="14"/>
      <c r="LJ161" s="14"/>
      <c r="LK161" s="14"/>
      <c r="LL161" s="14"/>
      <c r="LM161" s="14"/>
      <c r="LN161" s="14"/>
      <c r="LO161" s="14"/>
      <c r="LP161" s="14"/>
      <c r="LQ161" s="14"/>
      <c r="LR161" s="14"/>
      <c r="LS161" s="14"/>
      <c r="LT161" s="14"/>
      <c r="LU161" s="14"/>
      <c r="LV161" s="14"/>
      <c r="LW161" s="14"/>
      <c r="LX161" s="14"/>
      <c r="LY161" s="14"/>
      <c r="LZ161" s="14"/>
      <c r="MA161" s="14"/>
      <c r="MB161" s="14"/>
      <c r="MC161" s="14"/>
      <c r="MD161" s="14"/>
      <c r="ME161" s="14"/>
      <c r="MF161" s="14"/>
      <c r="MG161" s="14"/>
      <c r="MH161" s="14"/>
      <c r="MI161" s="14"/>
      <c r="MJ161" s="14"/>
      <c r="MK161" s="14"/>
      <c r="ML161" s="14"/>
      <c r="MM161" s="14"/>
      <c r="MN161" s="14"/>
      <c r="MO161" s="14"/>
      <c r="MP161" s="14"/>
      <c r="MQ161" s="14"/>
      <c r="MR161" s="14"/>
      <c r="MS161" s="14"/>
      <c r="MT161" s="14"/>
      <c r="MU161" s="14"/>
      <c r="MV161" s="14"/>
      <c r="MW161" s="14"/>
      <c r="MX161" s="14"/>
      <c r="MY161" s="14"/>
      <c r="MZ161" s="14"/>
      <c r="NA161" s="14"/>
      <c r="NB161" s="14"/>
      <c r="NC161" s="14"/>
      <c r="ND161" s="14"/>
      <c r="NE161" s="14"/>
      <c r="NF161" s="14"/>
      <c r="NG161" s="14"/>
      <c r="NH161" s="14"/>
      <c r="NI161" s="14"/>
      <c r="NJ161" s="14"/>
      <c r="NK161" s="14"/>
      <c r="NL161" s="14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</row>
    <row r="162" ht="13.5" customHeight="1">
      <c r="A162" s="2"/>
      <c r="B162" s="22"/>
      <c r="C162" s="2"/>
      <c r="D162" s="13"/>
      <c r="E162" s="3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  <c r="DL162" s="14"/>
      <c r="DM162" s="14"/>
      <c r="DN162" s="14"/>
      <c r="DO162" s="14"/>
      <c r="DP162" s="14"/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4"/>
      <c r="EB162" s="14"/>
      <c r="EC162" s="14"/>
      <c r="ED162" s="14"/>
      <c r="EE162" s="14"/>
      <c r="EF162" s="14"/>
      <c r="EG162" s="14"/>
      <c r="EH162" s="14"/>
      <c r="EI162" s="14"/>
      <c r="EJ162" s="14"/>
      <c r="EK162" s="14"/>
      <c r="EL162" s="14"/>
      <c r="EM162" s="14"/>
      <c r="EN162" s="14"/>
      <c r="EO162" s="14"/>
      <c r="EP162" s="14"/>
      <c r="EQ162" s="14"/>
      <c r="ER162" s="14"/>
      <c r="ES162" s="14"/>
      <c r="ET162" s="14"/>
      <c r="EU162" s="14"/>
      <c r="EV162" s="14"/>
      <c r="EW162" s="14"/>
      <c r="EX162" s="14"/>
      <c r="EY162" s="14"/>
      <c r="EZ162" s="14"/>
      <c r="FA162" s="14"/>
      <c r="FB162" s="14"/>
      <c r="FC162" s="14"/>
      <c r="FD162" s="14"/>
      <c r="FE162" s="14"/>
      <c r="FF162" s="14"/>
      <c r="FG162" s="14"/>
      <c r="FH162" s="14"/>
      <c r="FI162" s="14"/>
      <c r="FJ162" s="14"/>
      <c r="FK162" s="14"/>
      <c r="FL162" s="14"/>
      <c r="FM162" s="14"/>
      <c r="FN162" s="14"/>
      <c r="FO162" s="14"/>
      <c r="FP162" s="14"/>
      <c r="FQ162" s="14"/>
      <c r="FR162" s="14"/>
      <c r="FS162" s="14"/>
      <c r="FT162" s="14"/>
      <c r="FU162" s="14"/>
      <c r="FV162" s="14"/>
      <c r="FW162" s="14"/>
      <c r="FX162" s="14"/>
      <c r="FY162" s="14"/>
      <c r="FZ162" s="14"/>
      <c r="GA162" s="14"/>
      <c r="GB162" s="14"/>
      <c r="GC162" s="14"/>
      <c r="GD162" s="14"/>
      <c r="GE162" s="14"/>
      <c r="GF162" s="14"/>
      <c r="GG162" s="14"/>
      <c r="GH162" s="14"/>
      <c r="GI162" s="14"/>
      <c r="GJ162" s="14"/>
      <c r="GK162" s="14"/>
      <c r="GL162" s="14"/>
      <c r="GM162" s="14"/>
      <c r="GN162" s="14"/>
      <c r="GO162" s="14"/>
      <c r="GP162" s="14"/>
      <c r="GQ162" s="14"/>
      <c r="GR162" s="14"/>
      <c r="GS162" s="14"/>
      <c r="GT162" s="14"/>
      <c r="GU162" s="14"/>
      <c r="GV162" s="14"/>
      <c r="GW162" s="14"/>
      <c r="GX162" s="14"/>
      <c r="GY162" s="14"/>
      <c r="GZ162" s="14"/>
      <c r="HA162" s="14"/>
      <c r="HB162" s="14"/>
      <c r="HC162" s="14"/>
      <c r="HD162" s="14"/>
      <c r="HE162" s="14"/>
      <c r="HF162" s="14"/>
      <c r="HG162" s="14"/>
      <c r="HH162" s="14"/>
      <c r="HI162" s="14"/>
      <c r="HJ162" s="14"/>
      <c r="HK162" s="14"/>
      <c r="HL162" s="14"/>
      <c r="HM162" s="14"/>
      <c r="HN162" s="14"/>
      <c r="HO162" s="14"/>
      <c r="HP162" s="14"/>
      <c r="HQ162" s="14"/>
      <c r="HR162" s="14"/>
      <c r="HS162" s="14"/>
      <c r="HT162" s="14"/>
      <c r="HU162" s="14"/>
      <c r="HV162" s="14"/>
      <c r="HW162" s="14"/>
      <c r="HX162" s="14"/>
      <c r="HY162" s="14"/>
      <c r="HZ162" s="14"/>
      <c r="IA162" s="14"/>
      <c r="IB162" s="14"/>
      <c r="IC162" s="14"/>
      <c r="ID162" s="14"/>
      <c r="IE162" s="14"/>
      <c r="IF162" s="14"/>
      <c r="IG162" s="14"/>
      <c r="IH162" s="14"/>
      <c r="II162" s="14"/>
      <c r="IJ162" s="14"/>
      <c r="IK162" s="14"/>
      <c r="IL162" s="14"/>
      <c r="IM162" s="14"/>
      <c r="IN162" s="14"/>
      <c r="IO162" s="14"/>
      <c r="IP162" s="14"/>
      <c r="IQ162" s="14"/>
      <c r="IR162" s="14"/>
      <c r="IS162" s="14"/>
      <c r="IT162" s="14"/>
      <c r="IU162" s="14"/>
      <c r="IV162" s="14"/>
      <c r="IW162" s="14"/>
      <c r="IX162" s="14"/>
      <c r="IY162" s="14"/>
      <c r="IZ162" s="14"/>
      <c r="JA162" s="14"/>
      <c r="JB162" s="14"/>
      <c r="JC162" s="14"/>
      <c r="JD162" s="14"/>
      <c r="JE162" s="14"/>
      <c r="JF162" s="14"/>
      <c r="JG162" s="14"/>
      <c r="JH162" s="14"/>
      <c r="JI162" s="14"/>
      <c r="JJ162" s="14"/>
      <c r="JK162" s="14"/>
      <c r="JL162" s="14"/>
      <c r="JM162" s="14"/>
      <c r="JN162" s="14"/>
      <c r="JO162" s="14"/>
      <c r="JP162" s="14"/>
      <c r="JQ162" s="14"/>
      <c r="JR162" s="14"/>
      <c r="JS162" s="14"/>
      <c r="JT162" s="14"/>
      <c r="JU162" s="14"/>
      <c r="JV162" s="14"/>
      <c r="JW162" s="14"/>
      <c r="JX162" s="14"/>
      <c r="JY162" s="14"/>
      <c r="JZ162" s="14"/>
      <c r="KA162" s="14"/>
      <c r="KB162" s="14"/>
      <c r="KC162" s="14"/>
      <c r="KD162" s="14"/>
      <c r="KE162" s="14"/>
      <c r="KF162" s="14"/>
      <c r="KG162" s="14"/>
      <c r="KH162" s="14"/>
      <c r="KI162" s="14"/>
      <c r="KJ162" s="14"/>
      <c r="KK162" s="14"/>
      <c r="KL162" s="14"/>
      <c r="KM162" s="14"/>
      <c r="KN162" s="14"/>
      <c r="KO162" s="14"/>
      <c r="KP162" s="14"/>
      <c r="KQ162" s="14"/>
      <c r="KR162" s="14"/>
      <c r="KS162" s="14"/>
      <c r="KT162" s="14"/>
      <c r="KU162" s="14"/>
      <c r="KV162" s="14"/>
      <c r="KW162" s="14"/>
      <c r="KX162" s="14"/>
      <c r="KY162" s="14"/>
      <c r="KZ162" s="14"/>
      <c r="LA162" s="14"/>
      <c r="LB162" s="14"/>
      <c r="LC162" s="14"/>
      <c r="LD162" s="14"/>
      <c r="LE162" s="14"/>
      <c r="LF162" s="14"/>
      <c r="LG162" s="14"/>
      <c r="LH162" s="14"/>
      <c r="LI162" s="14"/>
      <c r="LJ162" s="14"/>
      <c r="LK162" s="14"/>
      <c r="LL162" s="14"/>
      <c r="LM162" s="14"/>
      <c r="LN162" s="14"/>
      <c r="LO162" s="14"/>
      <c r="LP162" s="14"/>
      <c r="LQ162" s="14"/>
      <c r="LR162" s="14"/>
      <c r="LS162" s="14"/>
      <c r="LT162" s="14"/>
      <c r="LU162" s="14"/>
      <c r="LV162" s="14"/>
      <c r="LW162" s="14"/>
      <c r="LX162" s="14"/>
      <c r="LY162" s="14"/>
      <c r="LZ162" s="14"/>
      <c r="MA162" s="14"/>
      <c r="MB162" s="14"/>
      <c r="MC162" s="14"/>
      <c r="MD162" s="14"/>
      <c r="ME162" s="14"/>
      <c r="MF162" s="14"/>
      <c r="MG162" s="14"/>
      <c r="MH162" s="14"/>
      <c r="MI162" s="14"/>
      <c r="MJ162" s="14"/>
      <c r="MK162" s="14"/>
      <c r="ML162" s="14"/>
      <c r="MM162" s="14"/>
      <c r="MN162" s="14"/>
      <c r="MO162" s="14"/>
      <c r="MP162" s="14"/>
      <c r="MQ162" s="14"/>
      <c r="MR162" s="14"/>
      <c r="MS162" s="14"/>
      <c r="MT162" s="14"/>
      <c r="MU162" s="14"/>
      <c r="MV162" s="14"/>
      <c r="MW162" s="14"/>
      <c r="MX162" s="14"/>
      <c r="MY162" s="14"/>
      <c r="MZ162" s="14"/>
      <c r="NA162" s="14"/>
      <c r="NB162" s="14"/>
      <c r="NC162" s="14"/>
      <c r="ND162" s="14"/>
      <c r="NE162" s="14"/>
      <c r="NF162" s="14"/>
      <c r="NG162" s="14"/>
      <c r="NH162" s="14"/>
      <c r="NI162" s="14"/>
      <c r="NJ162" s="14"/>
      <c r="NK162" s="14"/>
      <c r="NL162" s="14"/>
      <c r="NM162" s="3"/>
      <c r="NN162" s="3"/>
      <c r="NO162" s="3"/>
      <c r="NP162" s="3"/>
      <c r="NQ162" s="3"/>
      <c r="NR162" s="3"/>
      <c r="NS162" s="3"/>
      <c r="NT162" s="3"/>
      <c r="NU162" s="3"/>
      <c r="NV162" s="3"/>
      <c r="NW162" s="3"/>
      <c r="NX162" s="3"/>
      <c r="NY162" s="3"/>
      <c r="NZ162" s="3"/>
      <c r="OA162" s="3"/>
      <c r="OB162" s="3"/>
      <c r="OC162" s="3"/>
      <c r="OD162" s="3"/>
      <c r="OE162" s="3"/>
      <c r="OF162" s="3"/>
    </row>
    <row r="163" ht="13.5" customHeight="1">
      <c r="A163" s="2"/>
      <c r="B163" s="22"/>
      <c r="C163" s="2"/>
      <c r="D163" s="13"/>
      <c r="E163" s="3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  <c r="DM163" s="14"/>
      <c r="DN163" s="14"/>
      <c r="DO163" s="14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4"/>
      <c r="EJ163" s="14"/>
      <c r="EK163" s="14"/>
      <c r="EL163" s="14"/>
      <c r="EM163" s="14"/>
      <c r="EN163" s="14"/>
      <c r="EO163" s="14"/>
      <c r="EP163" s="14"/>
      <c r="EQ163" s="14"/>
      <c r="ER163" s="14"/>
      <c r="ES163" s="14"/>
      <c r="ET163" s="14"/>
      <c r="EU163" s="14"/>
      <c r="EV163" s="14"/>
      <c r="EW163" s="14"/>
      <c r="EX163" s="14"/>
      <c r="EY163" s="14"/>
      <c r="EZ163" s="14"/>
      <c r="FA163" s="14"/>
      <c r="FB163" s="14"/>
      <c r="FC163" s="14"/>
      <c r="FD163" s="14"/>
      <c r="FE163" s="14"/>
      <c r="FF163" s="14"/>
      <c r="FG163" s="14"/>
      <c r="FH163" s="14"/>
      <c r="FI163" s="14"/>
      <c r="FJ163" s="14"/>
      <c r="FK163" s="14"/>
      <c r="FL163" s="14"/>
      <c r="FM163" s="14"/>
      <c r="FN163" s="14"/>
      <c r="FO163" s="14"/>
      <c r="FP163" s="14"/>
      <c r="FQ163" s="14"/>
      <c r="FR163" s="14"/>
      <c r="FS163" s="14"/>
      <c r="FT163" s="14"/>
      <c r="FU163" s="14"/>
      <c r="FV163" s="14"/>
      <c r="FW163" s="14"/>
      <c r="FX163" s="14"/>
      <c r="FY163" s="14"/>
      <c r="FZ163" s="14"/>
      <c r="GA163" s="14"/>
      <c r="GB163" s="14"/>
      <c r="GC163" s="14"/>
      <c r="GD163" s="14"/>
      <c r="GE163" s="14"/>
      <c r="GF163" s="14"/>
      <c r="GG163" s="14"/>
      <c r="GH163" s="14"/>
      <c r="GI163" s="14"/>
      <c r="GJ163" s="14"/>
      <c r="GK163" s="14"/>
      <c r="GL163" s="14"/>
      <c r="GM163" s="14"/>
      <c r="GN163" s="14"/>
      <c r="GO163" s="14"/>
      <c r="GP163" s="14"/>
      <c r="GQ163" s="14"/>
      <c r="GR163" s="14"/>
      <c r="GS163" s="14"/>
      <c r="GT163" s="14"/>
      <c r="GU163" s="14"/>
      <c r="GV163" s="14"/>
      <c r="GW163" s="14"/>
      <c r="GX163" s="14"/>
      <c r="GY163" s="14"/>
      <c r="GZ163" s="14"/>
      <c r="HA163" s="14"/>
      <c r="HB163" s="14"/>
      <c r="HC163" s="14"/>
      <c r="HD163" s="14"/>
      <c r="HE163" s="14"/>
      <c r="HF163" s="14"/>
      <c r="HG163" s="14"/>
      <c r="HH163" s="14"/>
      <c r="HI163" s="14"/>
      <c r="HJ163" s="14"/>
      <c r="HK163" s="14"/>
      <c r="HL163" s="14"/>
      <c r="HM163" s="14"/>
      <c r="HN163" s="14"/>
      <c r="HO163" s="14"/>
      <c r="HP163" s="14"/>
      <c r="HQ163" s="14"/>
      <c r="HR163" s="14"/>
      <c r="HS163" s="14"/>
      <c r="HT163" s="14"/>
      <c r="HU163" s="14"/>
      <c r="HV163" s="14"/>
      <c r="HW163" s="14"/>
      <c r="HX163" s="14"/>
      <c r="HY163" s="14"/>
      <c r="HZ163" s="14"/>
      <c r="IA163" s="14"/>
      <c r="IB163" s="14"/>
      <c r="IC163" s="14"/>
      <c r="ID163" s="14"/>
      <c r="IE163" s="14"/>
      <c r="IF163" s="14"/>
      <c r="IG163" s="14"/>
      <c r="IH163" s="14"/>
      <c r="II163" s="14"/>
      <c r="IJ163" s="14"/>
      <c r="IK163" s="14"/>
      <c r="IL163" s="14"/>
      <c r="IM163" s="14"/>
      <c r="IN163" s="14"/>
      <c r="IO163" s="14"/>
      <c r="IP163" s="14"/>
      <c r="IQ163" s="14"/>
      <c r="IR163" s="14"/>
      <c r="IS163" s="14"/>
      <c r="IT163" s="14"/>
      <c r="IU163" s="14"/>
      <c r="IV163" s="14"/>
      <c r="IW163" s="14"/>
      <c r="IX163" s="14"/>
      <c r="IY163" s="14"/>
      <c r="IZ163" s="14"/>
      <c r="JA163" s="14"/>
      <c r="JB163" s="14"/>
      <c r="JC163" s="14"/>
      <c r="JD163" s="14"/>
      <c r="JE163" s="14"/>
      <c r="JF163" s="14"/>
      <c r="JG163" s="14"/>
      <c r="JH163" s="14"/>
      <c r="JI163" s="14"/>
      <c r="JJ163" s="14"/>
      <c r="JK163" s="14"/>
      <c r="JL163" s="14"/>
      <c r="JM163" s="14"/>
      <c r="JN163" s="14"/>
      <c r="JO163" s="14"/>
      <c r="JP163" s="14"/>
      <c r="JQ163" s="14"/>
      <c r="JR163" s="14"/>
      <c r="JS163" s="14"/>
      <c r="JT163" s="14"/>
      <c r="JU163" s="14"/>
      <c r="JV163" s="14"/>
      <c r="JW163" s="14"/>
      <c r="JX163" s="14"/>
      <c r="JY163" s="14"/>
      <c r="JZ163" s="14"/>
      <c r="KA163" s="14"/>
      <c r="KB163" s="14"/>
      <c r="KC163" s="14"/>
      <c r="KD163" s="14"/>
      <c r="KE163" s="14"/>
      <c r="KF163" s="14"/>
      <c r="KG163" s="14"/>
      <c r="KH163" s="14"/>
      <c r="KI163" s="14"/>
      <c r="KJ163" s="14"/>
      <c r="KK163" s="14"/>
      <c r="KL163" s="14"/>
      <c r="KM163" s="14"/>
      <c r="KN163" s="14"/>
      <c r="KO163" s="14"/>
      <c r="KP163" s="14"/>
      <c r="KQ163" s="14"/>
      <c r="KR163" s="14"/>
      <c r="KS163" s="14"/>
      <c r="KT163" s="14"/>
      <c r="KU163" s="14"/>
      <c r="KV163" s="14"/>
      <c r="KW163" s="14"/>
      <c r="KX163" s="14"/>
      <c r="KY163" s="14"/>
      <c r="KZ163" s="14"/>
      <c r="LA163" s="14"/>
      <c r="LB163" s="14"/>
      <c r="LC163" s="14"/>
      <c r="LD163" s="14"/>
      <c r="LE163" s="14"/>
      <c r="LF163" s="14"/>
      <c r="LG163" s="14"/>
      <c r="LH163" s="14"/>
      <c r="LI163" s="14"/>
      <c r="LJ163" s="14"/>
      <c r="LK163" s="14"/>
      <c r="LL163" s="14"/>
      <c r="LM163" s="14"/>
      <c r="LN163" s="14"/>
      <c r="LO163" s="14"/>
      <c r="LP163" s="14"/>
      <c r="LQ163" s="14"/>
      <c r="LR163" s="14"/>
      <c r="LS163" s="14"/>
      <c r="LT163" s="14"/>
      <c r="LU163" s="14"/>
      <c r="LV163" s="14"/>
      <c r="LW163" s="14"/>
      <c r="LX163" s="14"/>
      <c r="LY163" s="14"/>
      <c r="LZ163" s="14"/>
      <c r="MA163" s="14"/>
      <c r="MB163" s="14"/>
      <c r="MC163" s="14"/>
      <c r="MD163" s="14"/>
      <c r="ME163" s="14"/>
      <c r="MF163" s="14"/>
      <c r="MG163" s="14"/>
      <c r="MH163" s="14"/>
      <c r="MI163" s="14"/>
      <c r="MJ163" s="14"/>
      <c r="MK163" s="14"/>
      <c r="ML163" s="14"/>
      <c r="MM163" s="14"/>
      <c r="MN163" s="14"/>
      <c r="MO163" s="14"/>
      <c r="MP163" s="14"/>
      <c r="MQ163" s="14"/>
      <c r="MR163" s="14"/>
      <c r="MS163" s="14"/>
      <c r="MT163" s="14"/>
      <c r="MU163" s="14"/>
      <c r="MV163" s="14"/>
      <c r="MW163" s="14"/>
      <c r="MX163" s="14"/>
      <c r="MY163" s="14"/>
      <c r="MZ163" s="14"/>
      <c r="NA163" s="14"/>
      <c r="NB163" s="14"/>
      <c r="NC163" s="14"/>
      <c r="ND163" s="14"/>
      <c r="NE163" s="14"/>
      <c r="NF163" s="14"/>
      <c r="NG163" s="14"/>
      <c r="NH163" s="14"/>
      <c r="NI163" s="14"/>
      <c r="NJ163" s="14"/>
      <c r="NK163" s="14"/>
      <c r="NL163" s="14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</row>
    <row r="164" ht="13.5" customHeight="1">
      <c r="A164" s="2"/>
      <c r="B164" s="22"/>
      <c r="C164" s="2"/>
      <c r="D164" s="13"/>
      <c r="E164" s="3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4"/>
      <c r="EJ164" s="14"/>
      <c r="EK164" s="14"/>
      <c r="EL164" s="14"/>
      <c r="EM164" s="14"/>
      <c r="EN164" s="14"/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4"/>
      <c r="FB164" s="14"/>
      <c r="FC164" s="14"/>
      <c r="FD164" s="14"/>
      <c r="FE164" s="14"/>
      <c r="FF164" s="14"/>
      <c r="FG164" s="14"/>
      <c r="FH164" s="14"/>
      <c r="FI164" s="14"/>
      <c r="FJ164" s="14"/>
      <c r="FK164" s="14"/>
      <c r="FL164" s="14"/>
      <c r="FM164" s="14"/>
      <c r="FN164" s="14"/>
      <c r="FO164" s="14"/>
      <c r="FP164" s="14"/>
      <c r="FQ164" s="14"/>
      <c r="FR164" s="14"/>
      <c r="FS164" s="14"/>
      <c r="FT164" s="14"/>
      <c r="FU164" s="14"/>
      <c r="FV164" s="14"/>
      <c r="FW164" s="14"/>
      <c r="FX164" s="14"/>
      <c r="FY164" s="14"/>
      <c r="FZ164" s="14"/>
      <c r="GA164" s="14"/>
      <c r="GB164" s="14"/>
      <c r="GC164" s="14"/>
      <c r="GD164" s="14"/>
      <c r="GE164" s="14"/>
      <c r="GF164" s="14"/>
      <c r="GG164" s="14"/>
      <c r="GH164" s="14"/>
      <c r="GI164" s="14"/>
      <c r="GJ164" s="14"/>
      <c r="GK164" s="14"/>
      <c r="GL164" s="14"/>
      <c r="GM164" s="14"/>
      <c r="GN164" s="14"/>
      <c r="GO164" s="14"/>
      <c r="GP164" s="14"/>
      <c r="GQ164" s="14"/>
      <c r="GR164" s="14"/>
      <c r="GS164" s="14"/>
      <c r="GT164" s="14"/>
      <c r="GU164" s="14"/>
      <c r="GV164" s="14"/>
      <c r="GW164" s="14"/>
      <c r="GX164" s="14"/>
      <c r="GY164" s="14"/>
      <c r="GZ164" s="14"/>
      <c r="HA164" s="14"/>
      <c r="HB164" s="14"/>
      <c r="HC164" s="14"/>
      <c r="HD164" s="14"/>
      <c r="HE164" s="14"/>
      <c r="HF164" s="14"/>
      <c r="HG164" s="14"/>
      <c r="HH164" s="14"/>
      <c r="HI164" s="14"/>
      <c r="HJ164" s="14"/>
      <c r="HK164" s="14"/>
      <c r="HL164" s="14"/>
      <c r="HM164" s="14"/>
      <c r="HN164" s="14"/>
      <c r="HO164" s="14"/>
      <c r="HP164" s="14"/>
      <c r="HQ164" s="14"/>
      <c r="HR164" s="14"/>
      <c r="HS164" s="14"/>
      <c r="HT164" s="14"/>
      <c r="HU164" s="14"/>
      <c r="HV164" s="14"/>
      <c r="HW164" s="14"/>
      <c r="HX164" s="14"/>
      <c r="HY164" s="14"/>
      <c r="HZ164" s="14"/>
      <c r="IA164" s="14"/>
      <c r="IB164" s="14"/>
      <c r="IC164" s="14"/>
      <c r="ID164" s="14"/>
      <c r="IE164" s="14"/>
      <c r="IF164" s="14"/>
      <c r="IG164" s="14"/>
      <c r="IH164" s="14"/>
      <c r="II164" s="14"/>
      <c r="IJ164" s="14"/>
      <c r="IK164" s="14"/>
      <c r="IL164" s="14"/>
      <c r="IM164" s="14"/>
      <c r="IN164" s="14"/>
      <c r="IO164" s="14"/>
      <c r="IP164" s="14"/>
      <c r="IQ164" s="14"/>
      <c r="IR164" s="14"/>
      <c r="IS164" s="14"/>
      <c r="IT164" s="14"/>
      <c r="IU164" s="14"/>
      <c r="IV164" s="14"/>
      <c r="IW164" s="14"/>
      <c r="IX164" s="14"/>
      <c r="IY164" s="14"/>
      <c r="IZ164" s="14"/>
      <c r="JA164" s="14"/>
      <c r="JB164" s="14"/>
      <c r="JC164" s="14"/>
      <c r="JD164" s="14"/>
      <c r="JE164" s="14"/>
      <c r="JF164" s="14"/>
      <c r="JG164" s="14"/>
      <c r="JH164" s="14"/>
      <c r="JI164" s="14"/>
      <c r="JJ164" s="14"/>
      <c r="JK164" s="14"/>
      <c r="JL164" s="14"/>
      <c r="JM164" s="14"/>
      <c r="JN164" s="14"/>
      <c r="JO164" s="14"/>
      <c r="JP164" s="14"/>
      <c r="JQ164" s="14"/>
      <c r="JR164" s="14"/>
      <c r="JS164" s="14"/>
      <c r="JT164" s="14"/>
      <c r="JU164" s="14"/>
      <c r="JV164" s="14"/>
      <c r="JW164" s="14"/>
      <c r="JX164" s="14"/>
      <c r="JY164" s="14"/>
      <c r="JZ164" s="14"/>
      <c r="KA164" s="14"/>
      <c r="KB164" s="14"/>
      <c r="KC164" s="14"/>
      <c r="KD164" s="14"/>
      <c r="KE164" s="14"/>
      <c r="KF164" s="14"/>
      <c r="KG164" s="14"/>
      <c r="KH164" s="14"/>
      <c r="KI164" s="14"/>
      <c r="KJ164" s="14"/>
      <c r="KK164" s="14"/>
      <c r="KL164" s="14"/>
      <c r="KM164" s="14"/>
      <c r="KN164" s="14"/>
      <c r="KO164" s="14"/>
      <c r="KP164" s="14"/>
      <c r="KQ164" s="14"/>
      <c r="KR164" s="14"/>
      <c r="KS164" s="14"/>
      <c r="KT164" s="14"/>
      <c r="KU164" s="14"/>
      <c r="KV164" s="14"/>
      <c r="KW164" s="14"/>
      <c r="KX164" s="14"/>
      <c r="KY164" s="14"/>
      <c r="KZ164" s="14"/>
      <c r="LA164" s="14"/>
      <c r="LB164" s="14"/>
      <c r="LC164" s="14"/>
      <c r="LD164" s="14"/>
      <c r="LE164" s="14"/>
      <c r="LF164" s="14"/>
      <c r="LG164" s="14"/>
      <c r="LH164" s="14"/>
      <c r="LI164" s="14"/>
      <c r="LJ164" s="14"/>
      <c r="LK164" s="14"/>
      <c r="LL164" s="14"/>
      <c r="LM164" s="14"/>
      <c r="LN164" s="14"/>
      <c r="LO164" s="14"/>
      <c r="LP164" s="14"/>
      <c r="LQ164" s="14"/>
      <c r="LR164" s="14"/>
      <c r="LS164" s="14"/>
      <c r="LT164" s="14"/>
      <c r="LU164" s="14"/>
      <c r="LV164" s="14"/>
      <c r="LW164" s="14"/>
      <c r="LX164" s="14"/>
      <c r="LY164" s="14"/>
      <c r="LZ164" s="14"/>
      <c r="MA164" s="14"/>
      <c r="MB164" s="14"/>
      <c r="MC164" s="14"/>
      <c r="MD164" s="14"/>
      <c r="ME164" s="14"/>
      <c r="MF164" s="14"/>
      <c r="MG164" s="14"/>
      <c r="MH164" s="14"/>
      <c r="MI164" s="14"/>
      <c r="MJ164" s="14"/>
      <c r="MK164" s="14"/>
      <c r="ML164" s="14"/>
      <c r="MM164" s="14"/>
      <c r="MN164" s="14"/>
      <c r="MO164" s="14"/>
      <c r="MP164" s="14"/>
      <c r="MQ164" s="14"/>
      <c r="MR164" s="14"/>
      <c r="MS164" s="14"/>
      <c r="MT164" s="14"/>
      <c r="MU164" s="14"/>
      <c r="MV164" s="14"/>
      <c r="MW164" s="14"/>
      <c r="MX164" s="14"/>
      <c r="MY164" s="14"/>
      <c r="MZ164" s="14"/>
      <c r="NA164" s="14"/>
      <c r="NB164" s="14"/>
      <c r="NC164" s="14"/>
      <c r="ND164" s="14"/>
      <c r="NE164" s="14"/>
      <c r="NF164" s="14"/>
      <c r="NG164" s="14"/>
      <c r="NH164" s="14"/>
      <c r="NI164" s="14"/>
      <c r="NJ164" s="14"/>
      <c r="NK164" s="14"/>
      <c r="NL164" s="14"/>
      <c r="NM164" s="3"/>
      <c r="NN164" s="3"/>
      <c r="NO164" s="3"/>
      <c r="NP164" s="3"/>
      <c r="NQ164" s="3"/>
      <c r="NR164" s="3"/>
      <c r="NS164" s="3"/>
      <c r="NT164" s="3"/>
      <c r="NU164" s="3"/>
      <c r="NV164" s="3"/>
      <c r="NW164" s="3"/>
      <c r="NX164" s="3"/>
      <c r="NY164" s="3"/>
      <c r="NZ164" s="3"/>
      <c r="OA164" s="3"/>
      <c r="OB164" s="3"/>
      <c r="OC164" s="3"/>
      <c r="OD164" s="3"/>
      <c r="OE164" s="3"/>
      <c r="OF164" s="3"/>
    </row>
    <row r="165" ht="13.5" customHeight="1">
      <c r="A165" s="2"/>
      <c r="B165" s="22"/>
      <c r="C165" s="2"/>
      <c r="D165" s="13"/>
      <c r="E165" s="3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4"/>
      <c r="EJ165" s="14"/>
      <c r="EK165" s="14"/>
      <c r="EL165" s="14"/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4"/>
      <c r="FA165" s="14"/>
      <c r="FB165" s="14"/>
      <c r="FC165" s="14"/>
      <c r="FD165" s="14"/>
      <c r="FE165" s="14"/>
      <c r="FF165" s="14"/>
      <c r="FG165" s="14"/>
      <c r="FH165" s="14"/>
      <c r="FI165" s="14"/>
      <c r="FJ165" s="14"/>
      <c r="FK165" s="14"/>
      <c r="FL165" s="14"/>
      <c r="FM165" s="14"/>
      <c r="FN165" s="14"/>
      <c r="FO165" s="14"/>
      <c r="FP165" s="14"/>
      <c r="FQ165" s="14"/>
      <c r="FR165" s="14"/>
      <c r="FS165" s="14"/>
      <c r="FT165" s="14"/>
      <c r="FU165" s="14"/>
      <c r="FV165" s="14"/>
      <c r="FW165" s="14"/>
      <c r="FX165" s="14"/>
      <c r="FY165" s="14"/>
      <c r="FZ165" s="14"/>
      <c r="GA165" s="14"/>
      <c r="GB165" s="14"/>
      <c r="GC165" s="14"/>
      <c r="GD165" s="14"/>
      <c r="GE165" s="14"/>
      <c r="GF165" s="14"/>
      <c r="GG165" s="14"/>
      <c r="GH165" s="14"/>
      <c r="GI165" s="14"/>
      <c r="GJ165" s="14"/>
      <c r="GK165" s="14"/>
      <c r="GL165" s="14"/>
      <c r="GM165" s="14"/>
      <c r="GN165" s="14"/>
      <c r="GO165" s="14"/>
      <c r="GP165" s="14"/>
      <c r="GQ165" s="14"/>
      <c r="GR165" s="14"/>
      <c r="GS165" s="14"/>
      <c r="GT165" s="14"/>
      <c r="GU165" s="14"/>
      <c r="GV165" s="14"/>
      <c r="GW165" s="14"/>
      <c r="GX165" s="14"/>
      <c r="GY165" s="14"/>
      <c r="GZ165" s="14"/>
      <c r="HA165" s="14"/>
      <c r="HB165" s="14"/>
      <c r="HC165" s="14"/>
      <c r="HD165" s="14"/>
      <c r="HE165" s="14"/>
      <c r="HF165" s="14"/>
      <c r="HG165" s="14"/>
      <c r="HH165" s="14"/>
      <c r="HI165" s="14"/>
      <c r="HJ165" s="14"/>
      <c r="HK165" s="14"/>
      <c r="HL165" s="14"/>
      <c r="HM165" s="14"/>
      <c r="HN165" s="14"/>
      <c r="HO165" s="14"/>
      <c r="HP165" s="14"/>
      <c r="HQ165" s="14"/>
      <c r="HR165" s="14"/>
      <c r="HS165" s="14"/>
      <c r="HT165" s="14"/>
      <c r="HU165" s="14"/>
      <c r="HV165" s="14"/>
      <c r="HW165" s="14"/>
      <c r="HX165" s="14"/>
      <c r="HY165" s="14"/>
      <c r="HZ165" s="14"/>
      <c r="IA165" s="14"/>
      <c r="IB165" s="14"/>
      <c r="IC165" s="14"/>
      <c r="ID165" s="14"/>
      <c r="IE165" s="14"/>
      <c r="IF165" s="14"/>
      <c r="IG165" s="14"/>
      <c r="IH165" s="14"/>
      <c r="II165" s="14"/>
      <c r="IJ165" s="14"/>
      <c r="IK165" s="14"/>
      <c r="IL165" s="14"/>
      <c r="IM165" s="14"/>
      <c r="IN165" s="14"/>
      <c r="IO165" s="14"/>
      <c r="IP165" s="14"/>
      <c r="IQ165" s="14"/>
      <c r="IR165" s="14"/>
      <c r="IS165" s="14"/>
      <c r="IT165" s="14"/>
      <c r="IU165" s="14"/>
      <c r="IV165" s="14"/>
      <c r="IW165" s="14"/>
      <c r="IX165" s="14"/>
      <c r="IY165" s="14"/>
      <c r="IZ165" s="14"/>
      <c r="JA165" s="14"/>
      <c r="JB165" s="14"/>
      <c r="JC165" s="14"/>
      <c r="JD165" s="14"/>
      <c r="JE165" s="14"/>
      <c r="JF165" s="14"/>
      <c r="JG165" s="14"/>
      <c r="JH165" s="14"/>
      <c r="JI165" s="14"/>
      <c r="JJ165" s="14"/>
      <c r="JK165" s="14"/>
      <c r="JL165" s="14"/>
      <c r="JM165" s="14"/>
      <c r="JN165" s="14"/>
      <c r="JO165" s="14"/>
      <c r="JP165" s="14"/>
      <c r="JQ165" s="14"/>
      <c r="JR165" s="14"/>
      <c r="JS165" s="14"/>
      <c r="JT165" s="14"/>
      <c r="JU165" s="14"/>
      <c r="JV165" s="14"/>
      <c r="JW165" s="14"/>
      <c r="JX165" s="14"/>
      <c r="JY165" s="14"/>
      <c r="JZ165" s="14"/>
      <c r="KA165" s="14"/>
      <c r="KB165" s="14"/>
      <c r="KC165" s="14"/>
      <c r="KD165" s="14"/>
      <c r="KE165" s="14"/>
      <c r="KF165" s="14"/>
      <c r="KG165" s="14"/>
      <c r="KH165" s="14"/>
      <c r="KI165" s="14"/>
      <c r="KJ165" s="14"/>
      <c r="KK165" s="14"/>
      <c r="KL165" s="14"/>
      <c r="KM165" s="14"/>
      <c r="KN165" s="14"/>
      <c r="KO165" s="14"/>
      <c r="KP165" s="14"/>
      <c r="KQ165" s="14"/>
      <c r="KR165" s="14"/>
      <c r="KS165" s="14"/>
      <c r="KT165" s="14"/>
      <c r="KU165" s="14"/>
      <c r="KV165" s="14"/>
      <c r="KW165" s="14"/>
      <c r="KX165" s="14"/>
      <c r="KY165" s="14"/>
      <c r="KZ165" s="14"/>
      <c r="LA165" s="14"/>
      <c r="LB165" s="14"/>
      <c r="LC165" s="14"/>
      <c r="LD165" s="14"/>
      <c r="LE165" s="14"/>
      <c r="LF165" s="14"/>
      <c r="LG165" s="14"/>
      <c r="LH165" s="14"/>
      <c r="LI165" s="14"/>
      <c r="LJ165" s="14"/>
      <c r="LK165" s="14"/>
      <c r="LL165" s="14"/>
      <c r="LM165" s="14"/>
      <c r="LN165" s="14"/>
      <c r="LO165" s="14"/>
      <c r="LP165" s="14"/>
      <c r="LQ165" s="14"/>
      <c r="LR165" s="14"/>
      <c r="LS165" s="14"/>
      <c r="LT165" s="14"/>
      <c r="LU165" s="14"/>
      <c r="LV165" s="14"/>
      <c r="LW165" s="14"/>
      <c r="LX165" s="14"/>
      <c r="LY165" s="14"/>
      <c r="LZ165" s="14"/>
      <c r="MA165" s="14"/>
      <c r="MB165" s="14"/>
      <c r="MC165" s="14"/>
      <c r="MD165" s="14"/>
      <c r="ME165" s="14"/>
      <c r="MF165" s="14"/>
      <c r="MG165" s="14"/>
      <c r="MH165" s="14"/>
      <c r="MI165" s="14"/>
      <c r="MJ165" s="14"/>
      <c r="MK165" s="14"/>
      <c r="ML165" s="14"/>
      <c r="MM165" s="14"/>
      <c r="MN165" s="14"/>
      <c r="MO165" s="14"/>
      <c r="MP165" s="14"/>
      <c r="MQ165" s="14"/>
      <c r="MR165" s="14"/>
      <c r="MS165" s="14"/>
      <c r="MT165" s="14"/>
      <c r="MU165" s="14"/>
      <c r="MV165" s="14"/>
      <c r="MW165" s="14"/>
      <c r="MX165" s="14"/>
      <c r="MY165" s="14"/>
      <c r="MZ165" s="14"/>
      <c r="NA165" s="14"/>
      <c r="NB165" s="14"/>
      <c r="NC165" s="14"/>
      <c r="ND165" s="14"/>
      <c r="NE165" s="14"/>
      <c r="NF165" s="14"/>
      <c r="NG165" s="14"/>
      <c r="NH165" s="14"/>
      <c r="NI165" s="14"/>
      <c r="NJ165" s="14"/>
      <c r="NK165" s="14"/>
      <c r="NL165" s="14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</row>
    <row r="166" ht="13.5" customHeight="1">
      <c r="A166" s="2"/>
      <c r="B166" s="22"/>
      <c r="C166" s="2"/>
      <c r="D166" s="13"/>
      <c r="E166" s="3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4"/>
      <c r="DF166" s="14"/>
      <c r="DG166" s="14"/>
      <c r="DH166" s="14"/>
      <c r="DI166" s="14"/>
      <c r="DJ166" s="14"/>
      <c r="DK166" s="14"/>
      <c r="DL166" s="14"/>
      <c r="DM166" s="14"/>
      <c r="DN166" s="14"/>
      <c r="DO166" s="14"/>
      <c r="DP166" s="14"/>
      <c r="DQ166" s="14"/>
      <c r="DR166" s="14"/>
      <c r="DS166" s="14"/>
      <c r="DT166" s="14"/>
      <c r="DU166" s="14"/>
      <c r="DV166" s="14"/>
      <c r="DW166" s="14"/>
      <c r="DX166" s="14"/>
      <c r="DY166" s="14"/>
      <c r="DZ166" s="14"/>
      <c r="EA166" s="14"/>
      <c r="EB166" s="14"/>
      <c r="EC166" s="14"/>
      <c r="ED166" s="14"/>
      <c r="EE166" s="14"/>
      <c r="EF166" s="14"/>
      <c r="EG166" s="14"/>
      <c r="EH166" s="14"/>
      <c r="EI166" s="14"/>
      <c r="EJ166" s="14"/>
      <c r="EK166" s="14"/>
      <c r="EL166" s="14"/>
      <c r="EM166" s="14"/>
      <c r="EN166" s="14"/>
      <c r="EO166" s="14"/>
      <c r="EP166" s="14"/>
      <c r="EQ166" s="14"/>
      <c r="ER166" s="14"/>
      <c r="ES166" s="14"/>
      <c r="ET166" s="14"/>
      <c r="EU166" s="14"/>
      <c r="EV166" s="14"/>
      <c r="EW166" s="14"/>
      <c r="EX166" s="14"/>
      <c r="EY166" s="14"/>
      <c r="EZ166" s="14"/>
      <c r="FA166" s="14"/>
      <c r="FB166" s="14"/>
      <c r="FC166" s="14"/>
      <c r="FD166" s="14"/>
      <c r="FE166" s="14"/>
      <c r="FF166" s="14"/>
      <c r="FG166" s="14"/>
      <c r="FH166" s="14"/>
      <c r="FI166" s="14"/>
      <c r="FJ166" s="14"/>
      <c r="FK166" s="14"/>
      <c r="FL166" s="14"/>
      <c r="FM166" s="14"/>
      <c r="FN166" s="14"/>
      <c r="FO166" s="14"/>
      <c r="FP166" s="14"/>
      <c r="FQ166" s="14"/>
      <c r="FR166" s="14"/>
      <c r="FS166" s="14"/>
      <c r="FT166" s="14"/>
      <c r="FU166" s="14"/>
      <c r="FV166" s="14"/>
      <c r="FW166" s="14"/>
      <c r="FX166" s="14"/>
      <c r="FY166" s="14"/>
      <c r="FZ166" s="14"/>
      <c r="GA166" s="14"/>
      <c r="GB166" s="14"/>
      <c r="GC166" s="14"/>
      <c r="GD166" s="14"/>
      <c r="GE166" s="14"/>
      <c r="GF166" s="14"/>
      <c r="GG166" s="14"/>
      <c r="GH166" s="14"/>
      <c r="GI166" s="14"/>
      <c r="GJ166" s="14"/>
      <c r="GK166" s="14"/>
      <c r="GL166" s="14"/>
      <c r="GM166" s="14"/>
      <c r="GN166" s="14"/>
      <c r="GO166" s="14"/>
      <c r="GP166" s="14"/>
      <c r="GQ166" s="14"/>
      <c r="GR166" s="14"/>
      <c r="GS166" s="14"/>
      <c r="GT166" s="14"/>
      <c r="GU166" s="14"/>
      <c r="GV166" s="14"/>
      <c r="GW166" s="14"/>
      <c r="GX166" s="14"/>
      <c r="GY166" s="14"/>
      <c r="GZ166" s="14"/>
      <c r="HA166" s="14"/>
      <c r="HB166" s="14"/>
      <c r="HC166" s="14"/>
      <c r="HD166" s="14"/>
      <c r="HE166" s="14"/>
      <c r="HF166" s="14"/>
      <c r="HG166" s="14"/>
      <c r="HH166" s="14"/>
      <c r="HI166" s="14"/>
      <c r="HJ166" s="14"/>
      <c r="HK166" s="14"/>
      <c r="HL166" s="14"/>
      <c r="HM166" s="14"/>
      <c r="HN166" s="14"/>
      <c r="HO166" s="14"/>
      <c r="HP166" s="14"/>
      <c r="HQ166" s="14"/>
      <c r="HR166" s="14"/>
      <c r="HS166" s="14"/>
      <c r="HT166" s="14"/>
      <c r="HU166" s="14"/>
      <c r="HV166" s="14"/>
      <c r="HW166" s="14"/>
      <c r="HX166" s="14"/>
      <c r="HY166" s="14"/>
      <c r="HZ166" s="14"/>
      <c r="IA166" s="14"/>
      <c r="IB166" s="14"/>
      <c r="IC166" s="14"/>
      <c r="ID166" s="14"/>
      <c r="IE166" s="14"/>
      <c r="IF166" s="14"/>
      <c r="IG166" s="14"/>
      <c r="IH166" s="14"/>
      <c r="II166" s="14"/>
      <c r="IJ166" s="14"/>
      <c r="IK166" s="14"/>
      <c r="IL166" s="14"/>
      <c r="IM166" s="14"/>
      <c r="IN166" s="14"/>
      <c r="IO166" s="14"/>
      <c r="IP166" s="14"/>
      <c r="IQ166" s="14"/>
      <c r="IR166" s="14"/>
      <c r="IS166" s="14"/>
      <c r="IT166" s="14"/>
      <c r="IU166" s="14"/>
      <c r="IV166" s="14"/>
      <c r="IW166" s="14"/>
      <c r="IX166" s="14"/>
      <c r="IY166" s="14"/>
      <c r="IZ166" s="14"/>
      <c r="JA166" s="14"/>
      <c r="JB166" s="14"/>
      <c r="JC166" s="14"/>
      <c r="JD166" s="14"/>
      <c r="JE166" s="14"/>
      <c r="JF166" s="14"/>
      <c r="JG166" s="14"/>
      <c r="JH166" s="14"/>
      <c r="JI166" s="14"/>
      <c r="JJ166" s="14"/>
      <c r="JK166" s="14"/>
      <c r="JL166" s="14"/>
      <c r="JM166" s="14"/>
      <c r="JN166" s="14"/>
      <c r="JO166" s="14"/>
      <c r="JP166" s="14"/>
      <c r="JQ166" s="14"/>
      <c r="JR166" s="14"/>
      <c r="JS166" s="14"/>
      <c r="JT166" s="14"/>
      <c r="JU166" s="14"/>
      <c r="JV166" s="14"/>
      <c r="JW166" s="14"/>
      <c r="JX166" s="14"/>
      <c r="JY166" s="14"/>
      <c r="JZ166" s="14"/>
      <c r="KA166" s="14"/>
      <c r="KB166" s="14"/>
      <c r="KC166" s="14"/>
      <c r="KD166" s="14"/>
      <c r="KE166" s="14"/>
      <c r="KF166" s="14"/>
      <c r="KG166" s="14"/>
      <c r="KH166" s="14"/>
      <c r="KI166" s="14"/>
      <c r="KJ166" s="14"/>
      <c r="KK166" s="14"/>
      <c r="KL166" s="14"/>
      <c r="KM166" s="14"/>
      <c r="KN166" s="14"/>
      <c r="KO166" s="14"/>
      <c r="KP166" s="14"/>
      <c r="KQ166" s="14"/>
      <c r="KR166" s="14"/>
      <c r="KS166" s="14"/>
      <c r="KT166" s="14"/>
      <c r="KU166" s="14"/>
      <c r="KV166" s="14"/>
      <c r="KW166" s="14"/>
      <c r="KX166" s="14"/>
      <c r="KY166" s="14"/>
      <c r="KZ166" s="14"/>
      <c r="LA166" s="14"/>
      <c r="LB166" s="14"/>
      <c r="LC166" s="14"/>
      <c r="LD166" s="14"/>
      <c r="LE166" s="14"/>
      <c r="LF166" s="14"/>
      <c r="LG166" s="14"/>
      <c r="LH166" s="14"/>
      <c r="LI166" s="14"/>
      <c r="LJ166" s="14"/>
      <c r="LK166" s="14"/>
      <c r="LL166" s="14"/>
      <c r="LM166" s="14"/>
      <c r="LN166" s="14"/>
      <c r="LO166" s="14"/>
      <c r="LP166" s="14"/>
      <c r="LQ166" s="14"/>
      <c r="LR166" s="14"/>
      <c r="LS166" s="14"/>
      <c r="LT166" s="14"/>
      <c r="LU166" s="14"/>
      <c r="LV166" s="14"/>
      <c r="LW166" s="14"/>
      <c r="LX166" s="14"/>
      <c r="LY166" s="14"/>
      <c r="LZ166" s="14"/>
      <c r="MA166" s="14"/>
      <c r="MB166" s="14"/>
      <c r="MC166" s="14"/>
      <c r="MD166" s="14"/>
      <c r="ME166" s="14"/>
      <c r="MF166" s="14"/>
      <c r="MG166" s="14"/>
      <c r="MH166" s="14"/>
      <c r="MI166" s="14"/>
      <c r="MJ166" s="14"/>
      <c r="MK166" s="14"/>
      <c r="ML166" s="14"/>
      <c r="MM166" s="14"/>
      <c r="MN166" s="14"/>
      <c r="MO166" s="14"/>
      <c r="MP166" s="14"/>
      <c r="MQ166" s="14"/>
      <c r="MR166" s="14"/>
      <c r="MS166" s="14"/>
      <c r="MT166" s="14"/>
      <c r="MU166" s="14"/>
      <c r="MV166" s="14"/>
      <c r="MW166" s="14"/>
      <c r="MX166" s="14"/>
      <c r="MY166" s="14"/>
      <c r="MZ166" s="14"/>
      <c r="NA166" s="14"/>
      <c r="NB166" s="14"/>
      <c r="NC166" s="14"/>
      <c r="ND166" s="14"/>
      <c r="NE166" s="14"/>
      <c r="NF166" s="14"/>
      <c r="NG166" s="14"/>
      <c r="NH166" s="14"/>
      <c r="NI166" s="14"/>
      <c r="NJ166" s="14"/>
      <c r="NK166" s="14"/>
      <c r="NL166" s="14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</row>
    <row r="167" ht="13.5" customHeight="1">
      <c r="A167" s="2"/>
      <c r="B167" s="22"/>
      <c r="C167" s="2"/>
      <c r="D167" s="13"/>
      <c r="E167" s="3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  <c r="DI167" s="14"/>
      <c r="DJ167" s="14"/>
      <c r="DK167" s="14"/>
      <c r="DL167" s="14"/>
      <c r="DM167" s="14"/>
      <c r="DN167" s="14"/>
      <c r="DO167" s="14"/>
      <c r="DP167" s="14"/>
      <c r="DQ167" s="14"/>
      <c r="DR167" s="14"/>
      <c r="DS167" s="14"/>
      <c r="DT167" s="14"/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4"/>
      <c r="EJ167" s="14"/>
      <c r="EK167" s="14"/>
      <c r="EL167" s="14"/>
      <c r="EM167" s="14"/>
      <c r="EN167" s="14"/>
      <c r="EO167" s="14"/>
      <c r="EP167" s="14"/>
      <c r="EQ167" s="14"/>
      <c r="ER167" s="14"/>
      <c r="ES167" s="14"/>
      <c r="ET167" s="14"/>
      <c r="EU167" s="14"/>
      <c r="EV167" s="14"/>
      <c r="EW167" s="14"/>
      <c r="EX167" s="14"/>
      <c r="EY167" s="14"/>
      <c r="EZ167" s="14"/>
      <c r="FA167" s="14"/>
      <c r="FB167" s="14"/>
      <c r="FC167" s="14"/>
      <c r="FD167" s="14"/>
      <c r="FE167" s="14"/>
      <c r="FF167" s="14"/>
      <c r="FG167" s="14"/>
      <c r="FH167" s="14"/>
      <c r="FI167" s="14"/>
      <c r="FJ167" s="14"/>
      <c r="FK167" s="14"/>
      <c r="FL167" s="14"/>
      <c r="FM167" s="14"/>
      <c r="FN167" s="14"/>
      <c r="FO167" s="14"/>
      <c r="FP167" s="14"/>
      <c r="FQ167" s="14"/>
      <c r="FR167" s="14"/>
      <c r="FS167" s="14"/>
      <c r="FT167" s="14"/>
      <c r="FU167" s="14"/>
      <c r="FV167" s="14"/>
      <c r="FW167" s="14"/>
      <c r="FX167" s="14"/>
      <c r="FY167" s="14"/>
      <c r="FZ167" s="14"/>
      <c r="GA167" s="14"/>
      <c r="GB167" s="14"/>
      <c r="GC167" s="14"/>
      <c r="GD167" s="14"/>
      <c r="GE167" s="14"/>
      <c r="GF167" s="14"/>
      <c r="GG167" s="14"/>
      <c r="GH167" s="14"/>
      <c r="GI167" s="14"/>
      <c r="GJ167" s="14"/>
      <c r="GK167" s="14"/>
      <c r="GL167" s="14"/>
      <c r="GM167" s="14"/>
      <c r="GN167" s="14"/>
      <c r="GO167" s="14"/>
      <c r="GP167" s="14"/>
      <c r="GQ167" s="14"/>
      <c r="GR167" s="14"/>
      <c r="GS167" s="14"/>
      <c r="GT167" s="14"/>
      <c r="GU167" s="14"/>
      <c r="GV167" s="14"/>
      <c r="GW167" s="14"/>
      <c r="GX167" s="14"/>
      <c r="GY167" s="14"/>
      <c r="GZ167" s="14"/>
      <c r="HA167" s="14"/>
      <c r="HB167" s="14"/>
      <c r="HC167" s="14"/>
      <c r="HD167" s="14"/>
      <c r="HE167" s="14"/>
      <c r="HF167" s="14"/>
      <c r="HG167" s="14"/>
      <c r="HH167" s="14"/>
      <c r="HI167" s="14"/>
      <c r="HJ167" s="14"/>
      <c r="HK167" s="14"/>
      <c r="HL167" s="14"/>
      <c r="HM167" s="14"/>
      <c r="HN167" s="14"/>
      <c r="HO167" s="14"/>
      <c r="HP167" s="14"/>
      <c r="HQ167" s="14"/>
      <c r="HR167" s="14"/>
      <c r="HS167" s="14"/>
      <c r="HT167" s="14"/>
      <c r="HU167" s="14"/>
      <c r="HV167" s="14"/>
      <c r="HW167" s="14"/>
      <c r="HX167" s="14"/>
      <c r="HY167" s="14"/>
      <c r="HZ167" s="14"/>
      <c r="IA167" s="14"/>
      <c r="IB167" s="14"/>
      <c r="IC167" s="14"/>
      <c r="ID167" s="14"/>
      <c r="IE167" s="14"/>
      <c r="IF167" s="14"/>
      <c r="IG167" s="14"/>
      <c r="IH167" s="14"/>
      <c r="II167" s="14"/>
      <c r="IJ167" s="14"/>
      <c r="IK167" s="14"/>
      <c r="IL167" s="14"/>
      <c r="IM167" s="14"/>
      <c r="IN167" s="14"/>
      <c r="IO167" s="14"/>
      <c r="IP167" s="14"/>
      <c r="IQ167" s="14"/>
      <c r="IR167" s="14"/>
      <c r="IS167" s="14"/>
      <c r="IT167" s="14"/>
      <c r="IU167" s="14"/>
      <c r="IV167" s="14"/>
      <c r="IW167" s="14"/>
      <c r="IX167" s="14"/>
      <c r="IY167" s="14"/>
      <c r="IZ167" s="14"/>
      <c r="JA167" s="14"/>
      <c r="JB167" s="14"/>
      <c r="JC167" s="14"/>
      <c r="JD167" s="14"/>
      <c r="JE167" s="14"/>
      <c r="JF167" s="14"/>
      <c r="JG167" s="14"/>
      <c r="JH167" s="14"/>
      <c r="JI167" s="14"/>
      <c r="JJ167" s="14"/>
      <c r="JK167" s="14"/>
      <c r="JL167" s="14"/>
      <c r="JM167" s="14"/>
      <c r="JN167" s="14"/>
      <c r="JO167" s="14"/>
      <c r="JP167" s="14"/>
      <c r="JQ167" s="14"/>
      <c r="JR167" s="14"/>
      <c r="JS167" s="14"/>
      <c r="JT167" s="14"/>
      <c r="JU167" s="14"/>
      <c r="JV167" s="14"/>
      <c r="JW167" s="14"/>
      <c r="JX167" s="14"/>
      <c r="JY167" s="14"/>
      <c r="JZ167" s="14"/>
      <c r="KA167" s="14"/>
      <c r="KB167" s="14"/>
      <c r="KC167" s="14"/>
      <c r="KD167" s="14"/>
      <c r="KE167" s="14"/>
      <c r="KF167" s="14"/>
      <c r="KG167" s="14"/>
      <c r="KH167" s="14"/>
      <c r="KI167" s="14"/>
      <c r="KJ167" s="14"/>
      <c r="KK167" s="14"/>
      <c r="KL167" s="14"/>
      <c r="KM167" s="14"/>
      <c r="KN167" s="14"/>
      <c r="KO167" s="14"/>
      <c r="KP167" s="14"/>
      <c r="KQ167" s="14"/>
      <c r="KR167" s="14"/>
      <c r="KS167" s="14"/>
      <c r="KT167" s="14"/>
      <c r="KU167" s="14"/>
      <c r="KV167" s="14"/>
      <c r="KW167" s="14"/>
      <c r="KX167" s="14"/>
      <c r="KY167" s="14"/>
      <c r="KZ167" s="14"/>
      <c r="LA167" s="14"/>
      <c r="LB167" s="14"/>
      <c r="LC167" s="14"/>
      <c r="LD167" s="14"/>
      <c r="LE167" s="14"/>
      <c r="LF167" s="14"/>
      <c r="LG167" s="14"/>
      <c r="LH167" s="14"/>
      <c r="LI167" s="14"/>
      <c r="LJ167" s="14"/>
      <c r="LK167" s="14"/>
      <c r="LL167" s="14"/>
      <c r="LM167" s="14"/>
      <c r="LN167" s="14"/>
      <c r="LO167" s="14"/>
      <c r="LP167" s="14"/>
      <c r="LQ167" s="14"/>
      <c r="LR167" s="14"/>
      <c r="LS167" s="14"/>
      <c r="LT167" s="14"/>
      <c r="LU167" s="14"/>
      <c r="LV167" s="14"/>
      <c r="LW167" s="14"/>
      <c r="LX167" s="14"/>
      <c r="LY167" s="14"/>
      <c r="LZ167" s="14"/>
      <c r="MA167" s="14"/>
      <c r="MB167" s="14"/>
      <c r="MC167" s="14"/>
      <c r="MD167" s="14"/>
      <c r="ME167" s="14"/>
      <c r="MF167" s="14"/>
      <c r="MG167" s="14"/>
      <c r="MH167" s="14"/>
      <c r="MI167" s="14"/>
      <c r="MJ167" s="14"/>
      <c r="MK167" s="14"/>
      <c r="ML167" s="14"/>
      <c r="MM167" s="14"/>
      <c r="MN167" s="14"/>
      <c r="MO167" s="14"/>
      <c r="MP167" s="14"/>
      <c r="MQ167" s="14"/>
      <c r="MR167" s="14"/>
      <c r="MS167" s="14"/>
      <c r="MT167" s="14"/>
      <c r="MU167" s="14"/>
      <c r="MV167" s="14"/>
      <c r="MW167" s="14"/>
      <c r="MX167" s="14"/>
      <c r="MY167" s="14"/>
      <c r="MZ167" s="14"/>
      <c r="NA167" s="14"/>
      <c r="NB167" s="14"/>
      <c r="NC167" s="14"/>
      <c r="ND167" s="14"/>
      <c r="NE167" s="14"/>
      <c r="NF167" s="14"/>
      <c r="NG167" s="14"/>
      <c r="NH167" s="14"/>
      <c r="NI167" s="14"/>
      <c r="NJ167" s="14"/>
      <c r="NK167" s="14"/>
      <c r="NL167" s="14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</row>
    <row r="168" ht="13.5" customHeight="1">
      <c r="A168" s="2"/>
      <c r="B168" s="22"/>
      <c r="C168" s="2"/>
      <c r="D168" s="13"/>
      <c r="E168" s="3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4"/>
      <c r="DF168" s="14"/>
      <c r="DG168" s="14"/>
      <c r="DH168" s="14"/>
      <c r="DI168" s="14"/>
      <c r="DJ168" s="14"/>
      <c r="DK168" s="14"/>
      <c r="DL168" s="14"/>
      <c r="DM168" s="14"/>
      <c r="DN168" s="14"/>
      <c r="DO168" s="14"/>
      <c r="DP168" s="14"/>
      <c r="DQ168" s="14"/>
      <c r="DR168" s="14"/>
      <c r="DS168" s="14"/>
      <c r="DT168" s="14"/>
      <c r="DU168" s="14"/>
      <c r="DV168" s="14"/>
      <c r="DW168" s="14"/>
      <c r="DX168" s="14"/>
      <c r="DY168" s="14"/>
      <c r="DZ168" s="14"/>
      <c r="EA168" s="14"/>
      <c r="EB168" s="14"/>
      <c r="EC168" s="14"/>
      <c r="ED168" s="14"/>
      <c r="EE168" s="14"/>
      <c r="EF168" s="14"/>
      <c r="EG168" s="14"/>
      <c r="EH168" s="14"/>
      <c r="EI168" s="14"/>
      <c r="EJ168" s="14"/>
      <c r="EK168" s="14"/>
      <c r="EL168" s="14"/>
      <c r="EM168" s="14"/>
      <c r="EN168" s="14"/>
      <c r="EO168" s="14"/>
      <c r="EP168" s="14"/>
      <c r="EQ168" s="14"/>
      <c r="ER168" s="14"/>
      <c r="ES168" s="14"/>
      <c r="ET168" s="14"/>
      <c r="EU168" s="14"/>
      <c r="EV168" s="14"/>
      <c r="EW168" s="14"/>
      <c r="EX168" s="14"/>
      <c r="EY168" s="14"/>
      <c r="EZ168" s="14"/>
      <c r="FA168" s="14"/>
      <c r="FB168" s="14"/>
      <c r="FC168" s="14"/>
      <c r="FD168" s="14"/>
      <c r="FE168" s="14"/>
      <c r="FF168" s="14"/>
      <c r="FG168" s="14"/>
      <c r="FH168" s="14"/>
      <c r="FI168" s="14"/>
      <c r="FJ168" s="14"/>
      <c r="FK168" s="14"/>
      <c r="FL168" s="14"/>
      <c r="FM168" s="14"/>
      <c r="FN168" s="14"/>
      <c r="FO168" s="14"/>
      <c r="FP168" s="14"/>
      <c r="FQ168" s="14"/>
      <c r="FR168" s="14"/>
      <c r="FS168" s="14"/>
      <c r="FT168" s="14"/>
      <c r="FU168" s="14"/>
      <c r="FV168" s="14"/>
      <c r="FW168" s="14"/>
      <c r="FX168" s="14"/>
      <c r="FY168" s="14"/>
      <c r="FZ168" s="14"/>
      <c r="GA168" s="14"/>
      <c r="GB168" s="14"/>
      <c r="GC168" s="14"/>
      <c r="GD168" s="14"/>
      <c r="GE168" s="14"/>
      <c r="GF168" s="14"/>
      <c r="GG168" s="14"/>
      <c r="GH168" s="14"/>
      <c r="GI168" s="14"/>
      <c r="GJ168" s="14"/>
      <c r="GK168" s="14"/>
      <c r="GL168" s="14"/>
      <c r="GM168" s="14"/>
      <c r="GN168" s="14"/>
      <c r="GO168" s="14"/>
      <c r="GP168" s="14"/>
      <c r="GQ168" s="14"/>
      <c r="GR168" s="14"/>
      <c r="GS168" s="14"/>
      <c r="GT168" s="14"/>
      <c r="GU168" s="14"/>
      <c r="GV168" s="14"/>
      <c r="GW168" s="14"/>
      <c r="GX168" s="14"/>
      <c r="GY168" s="14"/>
      <c r="GZ168" s="14"/>
      <c r="HA168" s="14"/>
      <c r="HB168" s="14"/>
      <c r="HC168" s="14"/>
      <c r="HD168" s="14"/>
      <c r="HE168" s="14"/>
      <c r="HF168" s="14"/>
      <c r="HG168" s="14"/>
      <c r="HH168" s="14"/>
      <c r="HI168" s="14"/>
      <c r="HJ168" s="14"/>
      <c r="HK168" s="14"/>
      <c r="HL168" s="14"/>
      <c r="HM168" s="14"/>
      <c r="HN168" s="14"/>
      <c r="HO168" s="14"/>
      <c r="HP168" s="14"/>
      <c r="HQ168" s="14"/>
      <c r="HR168" s="14"/>
      <c r="HS168" s="14"/>
      <c r="HT168" s="14"/>
      <c r="HU168" s="14"/>
      <c r="HV168" s="14"/>
      <c r="HW168" s="14"/>
      <c r="HX168" s="14"/>
      <c r="HY168" s="14"/>
      <c r="HZ168" s="14"/>
      <c r="IA168" s="14"/>
      <c r="IB168" s="14"/>
      <c r="IC168" s="14"/>
      <c r="ID168" s="14"/>
      <c r="IE168" s="14"/>
      <c r="IF168" s="14"/>
      <c r="IG168" s="14"/>
      <c r="IH168" s="14"/>
      <c r="II168" s="14"/>
      <c r="IJ168" s="14"/>
      <c r="IK168" s="14"/>
      <c r="IL168" s="14"/>
      <c r="IM168" s="14"/>
      <c r="IN168" s="14"/>
      <c r="IO168" s="14"/>
      <c r="IP168" s="14"/>
      <c r="IQ168" s="14"/>
      <c r="IR168" s="14"/>
      <c r="IS168" s="14"/>
      <c r="IT168" s="14"/>
      <c r="IU168" s="14"/>
      <c r="IV168" s="14"/>
      <c r="IW168" s="14"/>
      <c r="IX168" s="14"/>
      <c r="IY168" s="14"/>
      <c r="IZ168" s="14"/>
      <c r="JA168" s="14"/>
      <c r="JB168" s="14"/>
      <c r="JC168" s="14"/>
      <c r="JD168" s="14"/>
      <c r="JE168" s="14"/>
      <c r="JF168" s="14"/>
      <c r="JG168" s="14"/>
      <c r="JH168" s="14"/>
      <c r="JI168" s="14"/>
      <c r="JJ168" s="14"/>
      <c r="JK168" s="14"/>
      <c r="JL168" s="14"/>
      <c r="JM168" s="14"/>
      <c r="JN168" s="14"/>
      <c r="JO168" s="14"/>
      <c r="JP168" s="14"/>
      <c r="JQ168" s="14"/>
      <c r="JR168" s="14"/>
      <c r="JS168" s="14"/>
      <c r="JT168" s="14"/>
      <c r="JU168" s="14"/>
      <c r="JV168" s="14"/>
      <c r="JW168" s="14"/>
      <c r="JX168" s="14"/>
      <c r="JY168" s="14"/>
      <c r="JZ168" s="14"/>
      <c r="KA168" s="14"/>
      <c r="KB168" s="14"/>
      <c r="KC168" s="14"/>
      <c r="KD168" s="14"/>
      <c r="KE168" s="14"/>
      <c r="KF168" s="14"/>
      <c r="KG168" s="14"/>
      <c r="KH168" s="14"/>
      <c r="KI168" s="14"/>
      <c r="KJ168" s="14"/>
      <c r="KK168" s="14"/>
      <c r="KL168" s="14"/>
      <c r="KM168" s="14"/>
      <c r="KN168" s="14"/>
      <c r="KO168" s="14"/>
      <c r="KP168" s="14"/>
      <c r="KQ168" s="14"/>
      <c r="KR168" s="14"/>
      <c r="KS168" s="14"/>
      <c r="KT168" s="14"/>
      <c r="KU168" s="14"/>
      <c r="KV168" s="14"/>
      <c r="KW168" s="14"/>
      <c r="KX168" s="14"/>
      <c r="KY168" s="14"/>
      <c r="KZ168" s="14"/>
      <c r="LA168" s="14"/>
      <c r="LB168" s="14"/>
      <c r="LC168" s="14"/>
      <c r="LD168" s="14"/>
      <c r="LE168" s="14"/>
      <c r="LF168" s="14"/>
      <c r="LG168" s="14"/>
      <c r="LH168" s="14"/>
      <c r="LI168" s="14"/>
      <c r="LJ168" s="14"/>
      <c r="LK168" s="14"/>
      <c r="LL168" s="14"/>
      <c r="LM168" s="14"/>
      <c r="LN168" s="14"/>
      <c r="LO168" s="14"/>
      <c r="LP168" s="14"/>
      <c r="LQ168" s="14"/>
      <c r="LR168" s="14"/>
      <c r="LS168" s="14"/>
      <c r="LT168" s="14"/>
      <c r="LU168" s="14"/>
      <c r="LV168" s="14"/>
      <c r="LW168" s="14"/>
      <c r="LX168" s="14"/>
      <c r="LY168" s="14"/>
      <c r="LZ168" s="14"/>
      <c r="MA168" s="14"/>
      <c r="MB168" s="14"/>
      <c r="MC168" s="14"/>
      <c r="MD168" s="14"/>
      <c r="ME168" s="14"/>
      <c r="MF168" s="14"/>
      <c r="MG168" s="14"/>
      <c r="MH168" s="14"/>
      <c r="MI168" s="14"/>
      <c r="MJ168" s="14"/>
      <c r="MK168" s="14"/>
      <c r="ML168" s="14"/>
      <c r="MM168" s="14"/>
      <c r="MN168" s="14"/>
      <c r="MO168" s="14"/>
      <c r="MP168" s="14"/>
      <c r="MQ168" s="14"/>
      <c r="MR168" s="14"/>
      <c r="MS168" s="14"/>
      <c r="MT168" s="14"/>
      <c r="MU168" s="14"/>
      <c r="MV168" s="14"/>
      <c r="MW168" s="14"/>
      <c r="MX168" s="14"/>
      <c r="MY168" s="14"/>
      <c r="MZ168" s="14"/>
      <c r="NA168" s="14"/>
      <c r="NB168" s="14"/>
      <c r="NC168" s="14"/>
      <c r="ND168" s="14"/>
      <c r="NE168" s="14"/>
      <c r="NF168" s="14"/>
      <c r="NG168" s="14"/>
      <c r="NH168" s="14"/>
      <c r="NI168" s="14"/>
      <c r="NJ168" s="14"/>
      <c r="NK168" s="14"/>
      <c r="NL168" s="14"/>
      <c r="NM168" s="3"/>
      <c r="NN168" s="3"/>
      <c r="NO168" s="3"/>
      <c r="NP168" s="3"/>
      <c r="NQ168" s="3"/>
      <c r="NR168" s="3"/>
      <c r="NS168" s="3"/>
      <c r="NT168" s="3"/>
      <c r="NU168" s="3"/>
      <c r="NV168" s="3"/>
      <c r="NW168" s="3"/>
      <c r="NX168" s="3"/>
      <c r="NY168" s="3"/>
      <c r="NZ168" s="3"/>
      <c r="OA168" s="3"/>
      <c r="OB168" s="3"/>
      <c r="OC168" s="3"/>
      <c r="OD168" s="3"/>
      <c r="OE168" s="3"/>
      <c r="OF168" s="3"/>
    </row>
    <row r="169" ht="13.5" customHeight="1">
      <c r="A169" s="2"/>
      <c r="B169" s="22"/>
      <c r="C169" s="2"/>
      <c r="D169" s="13"/>
      <c r="E169" s="3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4"/>
      <c r="DG169" s="14"/>
      <c r="DH169" s="14"/>
      <c r="DI169" s="14"/>
      <c r="DJ169" s="14"/>
      <c r="DK169" s="14"/>
      <c r="DL169" s="14"/>
      <c r="DM169" s="14"/>
      <c r="DN169" s="14"/>
      <c r="DO169" s="14"/>
      <c r="DP169" s="14"/>
      <c r="DQ169" s="14"/>
      <c r="DR169" s="14"/>
      <c r="DS169" s="14"/>
      <c r="DT169" s="14"/>
      <c r="DU169" s="14"/>
      <c r="DV169" s="14"/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14"/>
      <c r="EH169" s="14"/>
      <c r="EI169" s="14"/>
      <c r="EJ169" s="14"/>
      <c r="EK169" s="14"/>
      <c r="EL169" s="14"/>
      <c r="EM169" s="14"/>
      <c r="EN169" s="14"/>
      <c r="EO169" s="14"/>
      <c r="EP169" s="14"/>
      <c r="EQ169" s="14"/>
      <c r="ER169" s="14"/>
      <c r="ES169" s="14"/>
      <c r="ET169" s="14"/>
      <c r="EU169" s="14"/>
      <c r="EV169" s="14"/>
      <c r="EW169" s="14"/>
      <c r="EX169" s="14"/>
      <c r="EY169" s="14"/>
      <c r="EZ169" s="14"/>
      <c r="FA169" s="14"/>
      <c r="FB169" s="14"/>
      <c r="FC169" s="14"/>
      <c r="FD169" s="14"/>
      <c r="FE169" s="14"/>
      <c r="FF169" s="14"/>
      <c r="FG169" s="14"/>
      <c r="FH169" s="14"/>
      <c r="FI169" s="14"/>
      <c r="FJ169" s="14"/>
      <c r="FK169" s="14"/>
      <c r="FL169" s="14"/>
      <c r="FM169" s="14"/>
      <c r="FN169" s="14"/>
      <c r="FO169" s="14"/>
      <c r="FP169" s="14"/>
      <c r="FQ169" s="14"/>
      <c r="FR169" s="14"/>
      <c r="FS169" s="14"/>
      <c r="FT169" s="14"/>
      <c r="FU169" s="14"/>
      <c r="FV169" s="14"/>
      <c r="FW169" s="14"/>
      <c r="FX169" s="14"/>
      <c r="FY169" s="14"/>
      <c r="FZ169" s="14"/>
      <c r="GA169" s="14"/>
      <c r="GB169" s="14"/>
      <c r="GC169" s="14"/>
      <c r="GD169" s="14"/>
      <c r="GE169" s="14"/>
      <c r="GF169" s="14"/>
      <c r="GG169" s="14"/>
      <c r="GH169" s="14"/>
      <c r="GI169" s="14"/>
      <c r="GJ169" s="14"/>
      <c r="GK169" s="14"/>
      <c r="GL169" s="14"/>
      <c r="GM169" s="14"/>
      <c r="GN169" s="14"/>
      <c r="GO169" s="14"/>
      <c r="GP169" s="14"/>
      <c r="GQ169" s="14"/>
      <c r="GR169" s="14"/>
      <c r="GS169" s="14"/>
      <c r="GT169" s="14"/>
      <c r="GU169" s="14"/>
      <c r="GV169" s="14"/>
      <c r="GW169" s="14"/>
      <c r="GX169" s="14"/>
      <c r="GY169" s="14"/>
      <c r="GZ169" s="14"/>
      <c r="HA169" s="14"/>
      <c r="HB169" s="14"/>
      <c r="HC169" s="14"/>
      <c r="HD169" s="14"/>
      <c r="HE169" s="14"/>
      <c r="HF169" s="14"/>
      <c r="HG169" s="14"/>
      <c r="HH169" s="14"/>
      <c r="HI169" s="14"/>
      <c r="HJ169" s="14"/>
      <c r="HK169" s="14"/>
      <c r="HL169" s="14"/>
      <c r="HM169" s="14"/>
      <c r="HN169" s="14"/>
      <c r="HO169" s="14"/>
      <c r="HP169" s="14"/>
      <c r="HQ169" s="14"/>
      <c r="HR169" s="14"/>
      <c r="HS169" s="14"/>
      <c r="HT169" s="14"/>
      <c r="HU169" s="14"/>
      <c r="HV169" s="14"/>
      <c r="HW169" s="14"/>
      <c r="HX169" s="14"/>
      <c r="HY169" s="14"/>
      <c r="HZ169" s="14"/>
      <c r="IA169" s="14"/>
      <c r="IB169" s="14"/>
      <c r="IC169" s="14"/>
      <c r="ID169" s="14"/>
      <c r="IE169" s="14"/>
      <c r="IF169" s="14"/>
      <c r="IG169" s="14"/>
      <c r="IH169" s="14"/>
      <c r="II169" s="14"/>
      <c r="IJ169" s="14"/>
      <c r="IK169" s="14"/>
      <c r="IL169" s="14"/>
      <c r="IM169" s="14"/>
      <c r="IN169" s="14"/>
      <c r="IO169" s="14"/>
      <c r="IP169" s="14"/>
      <c r="IQ169" s="14"/>
      <c r="IR169" s="14"/>
      <c r="IS169" s="14"/>
      <c r="IT169" s="14"/>
      <c r="IU169" s="14"/>
      <c r="IV169" s="14"/>
      <c r="IW169" s="14"/>
      <c r="IX169" s="14"/>
      <c r="IY169" s="14"/>
      <c r="IZ169" s="14"/>
      <c r="JA169" s="14"/>
      <c r="JB169" s="14"/>
      <c r="JC169" s="14"/>
      <c r="JD169" s="14"/>
      <c r="JE169" s="14"/>
      <c r="JF169" s="14"/>
      <c r="JG169" s="14"/>
      <c r="JH169" s="14"/>
      <c r="JI169" s="14"/>
      <c r="JJ169" s="14"/>
      <c r="JK169" s="14"/>
      <c r="JL169" s="14"/>
      <c r="JM169" s="14"/>
      <c r="JN169" s="14"/>
      <c r="JO169" s="14"/>
      <c r="JP169" s="14"/>
      <c r="JQ169" s="14"/>
      <c r="JR169" s="14"/>
      <c r="JS169" s="14"/>
      <c r="JT169" s="14"/>
      <c r="JU169" s="14"/>
      <c r="JV169" s="14"/>
      <c r="JW169" s="14"/>
      <c r="JX169" s="14"/>
      <c r="JY169" s="14"/>
      <c r="JZ169" s="14"/>
      <c r="KA169" s="14"/>
      <c r="KB169" s="14"/>
      <c r="KC169" s="14"/>
      <c r="KD169" s="14"/>
      <c r="KE169" s="14"/>
      <c r="KF169" s="14"/>
      <c r="KG169" s="14"/>
      <c r="KH169" s="14"/>
      <c r="KI169" s="14"/>
      <c r="KJ169" s="14"/>
      <c r="KK169" s="14"/>
      <c r="KL169" s="14"/>
      <c r="KM169" s="14"/>
      <c r="KN169" s="14"/>
      <c r="KO169" s="14"/>
      <c r="KP169" s="14"/>
      <c r="KQ169" s="14"/>
      <c r="KR169" s="14"/>
      <c r="KS169" s="14"/>
      <c r="KT169" s="14"/>
      <c r="KU169" s="14"/>
      <c r="KV169" s="14"/>
      <c r="KW169" s="14"/>
      <c r="KX169" s="14"/>
      <c r="KY169" s="14"/>
      <c r="KZ169" s="14"/>
      <c r="LA169" s="14"/>
      <c r="LB169" s="14"/>
      <c r="LC169" s="14"/>
      <c r="LD169" s="14"/>
      <c r="LE169" s="14"/>
      <c r="LF169" s="14"/>
      <c r="LG169" s="14"/>
      <c r="LH169" s="14"/>
      <c r="LI169" s="14"/>
      <c r="LJ169" s="14"/>
      <c r="LK169" s="14"/>
      <c r="LL169" s="14"/>
      <c r="LM169" s="14"/>
      <c r="LN169" s="14"/>
      <c r="LO169" s="14"/>
      <c r="LP169" s="14"/>
      <c r="LQ169" s="14"/>
      <c r="LR169" s="14"/>
      <c r="LS169" s="14"/>
      <c r="LT169" s="14"/>
      <c r="LU169" s="14"/>
      <c r="LV169" s="14"/>
      <c r="LW169" s="14"/>
      <c r="LX169" s="14"/>
      <c r="LY169" s="14"/>
      <c r="LZ169" s="14"/>
      <c r="MA169" s="14"/>
      <c r="MB169" s="14"/>
      <c r="MC169" s="14"/>
      <c r="MD169" s="14"/>
      <c r="ME169" s="14"/>
      <c r="MF169" s="14"/>
      <c r="MG169" s="14"/>
      <c r="MH169" s="14"/>
      <c r="MI169" s="14"/>
      <c r="MJ169" s="14"/>
      <c r="MK169" s="14"/>
      <c r="ML169" s="14"/>
      <c r="MM169" s="14"/>
      <c r="MN169" s="14"/>
      <c r="MO169" s="14"/>
      <c r="MP169" s="14"/>
      <c r="MQ169" s="14"/>
      <c r="MR169" s="14"/>
      <c r="MS169" s="14"/>
      <c r="MT169" s="14"/>
      <c r="MU169" s="14"/>
      <c r="MV169" s="14"/>
      <c r="MW169" s="14"/>
      <c r="MX169" s="14"/>
      <c r="MY169" s="14"/>
      <c r="MZ169" s="14"/>
      <c r="NA169" s="14"/>
      <c r="NB169" s="14"/>
      <c r="NC169" s="14"/>
      <c r="ND169" s="14"/>
      <c r="NE169" s="14"/>
      <c r="NF169" s="14"/>
      <c r="NG169" s="14"/>
      <c r="NH169" s="14"/>
      <c r="NI169" s="14"/>
      <c r="NJ169" s="14"/>
      <c r="NK169" s="14"/>
      <c r="NL169" s="14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</row>
    <row r="170" ht="13.5" customHeight="1">
      <c r="A170" s="2"/>
      <c r="B170" s="22"/>
      <c r="C170" s="2"/>
      <c r="D170" s="13"/>
      <c r="E170" s="3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  <c r="DI170" s="14"/>
      <c r="DJ170" s="14"/>
      <c r="DK170" s="14"/>
      <c r="DL170" s="14"/>
      <c r="DM170" s="14"/>
      <c r="DN170" s="14"/>
      <c r="DO170" s="14"/>
      <c r="DP170" s="14"/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4"/>
      <c r="EB170" s="14"/>
      <c r="EC170" s="14"/>
      <c r="ED170" s="14"/>
      <c r="EE170" s="14"/>
      <c r="EF170" s="14"/>
      <c r="EG170" s="14"/>
      <c r="EH170" s="14"/>
      <c r="EI170" s="14"/>
      <c r="EJ170" s="14"/>
      <c r="EK170" s="14"/>
      <c r="EL170" s="14"/>
      <c r="EM170" s="14"/>
      <c r="EN170" s="14"/>
      <c r="EO170" s="14"/>
      <c r="EP170" s="14"/>
      <c r="EQ170" s="14"/>
      <c r="ER170" s="14"/>
      <c r="ES170" s="14"/>
      <c r="ET170" s="14"/>
      <c r="EU170" s="14"/>
      <c r="EV170" s="14"/>
      <c r="EW170" s="14"/>
      <c r="EX170" s="14"/>
      <c r="EY170" s="14"/>
      <c r="EZ170" s="14"/>
      <c r="FA170" s="14"/>
      <c r="FB170" s="14"/>
      <c r="FC170" s="14"/>
      <c r="FD170" s="14"/>
      <c r="FE170" s="14"/>
      <c r="FF170" s="14"/>
      <c r="FG170" s="14"/>
      <c r="FH170" s="14"/>
      <c r="FI170" s="14"/>
      <c r="FJ170" s="14"/>
      <c r="FK170" s="14"/>
      <c r="FL170" s="14"/>
      <c r="FM170" s="14"/>
      <c r="FN170" s="14"/>
      <c r="FO170" s="14"/>
      <c r="FP170" s="14"/>
      <c r="FQ170" s="14"/>
      <c r="FR170" s="14"/>
      <c r="FS170" s="14"/>
      <c r="FT170" s="14"/>
      <c r="FU170" s="14"/>
      <c r="FV170" s="14"/>
      <c r="FW170" s="14"/>
      <c r="FX170" s="14"/>
      <c r="FY170" s="14"/>
      <c r="FZ170" s="14"/>
      <c r="GA170" s="14"/>
      <c r="GB170" s="14"/>
      <c r="GC170" s="14"/>
      <c r="GD170" s="14"/>
      <c r="GE170" s="14"/>
      <c r="GF170" s="14"/>
      <c r="GG170" s="14"/>
      <c r="GH170" s="14"/>
      <c r="GI170" s="14"/>
      <c r="GJ170" s="14"/>
      <c r="GK170" s="14"/>
      <c r="GL170" s="14"/>
      <c r="GM170" s="14"/>
      <c r="GN170" s="14"/>
      <c r="GO170" s="14"/>
      <c r="GP170" s="14"/>
      <c r="GQ170" s="14"/>
      <c r="GR170" s="14"/>
      <c r="GS170" s="14"/>
      <c r="GT170" s="14"/>
      <c r="GU170" s="14"/>
      <c r="GV170" s="14"/>
      <c r="GW170" s="14"/>
      <c r="GX170" s="14"/>
      <c r="GY170" s="14"/>
      <c r="GZ170" s="14"/>
      <c r="HA170" s="14"/>
      <c r="HB170" s="14"/>
      <c r="HC170" s="14"/>
      <c r="HD170" s="14"/>
      <c r="HE170" s="14"/>
      <c r="HF170" s="14"/>
      <c r="HG170" s="14"/>
      <c r="HH170" s="14"/>
      <c r="HI170" s="14"/>
      <c r="HJ170" s="14"/>
      <c r="HK170" s="14"/>
      <c r="HL170" s="14"/>
      <c r="HM170" s="14"/>
      <c r="HN170" s="14"/>
      <c r="HO170" s="14"/>
      <c r="HP170" s="14"/>
      <c r="HQ170" s="14"/>
      <c r="HR170" s="14"/>
      <c r="HS170" s="14"/>
      <c r="HT170" s="14"/>
      <c r="HU170" s="14"/>
      <c r="HV170" s="14"/>
      <c r="HW170" s="14"/>
      <c r="HX170" s="14"/>
      <c r="HY170" s="14"/>
      <c r="HZ170" s="14"/>
      <c r="IA170" s="14"/>
      <c r="IB170" s="14"/>
      <c r="IC170" s="14"/>
      <c r="ID170" s="14"/>
      <c r="IE170" s="14"/>
      <c r="IF170" s="14"/>
      <c r="IG170" s="14"/>
      <c r="IH170" s="14"/>
      <c r="II170" s="14"/>
      <c r="IJ170" s="14"/>
      <c r="IK170" s="14"/>
      <c r="IL170" s="14"/>
      <c r="IM170" s="14"/>
      <c r="IN170" s="14"/>
      <c r="IO170" s="14"/>
      <c r="IP170" s="14"/>
      <c r="IQ170" s="14"/>
      <c r="IR170" s="14"/>
      <c r="IS170" s="14"/>
      <c r="IT170" s="14"/>
      <c r="IU170" s="14"/>
      <c r="IV170" s="14"/>
      <c r="IW170" s="14"/>
      <c r="IX170" s="14"/>
      <c r="IY170" s="14"/>
      <c r="IZ170" s="14"/>
      <c r="JA170" s="14"/>
      <c r="JB170" s="14"/>
      <c r="JC170" s="14"/>
      <c r="JD170" s="14"/>
      <c r="JE170" s="14"/>
      <c r="JF170" s="14"/>
      <c r="JG170" s="14"/>
      <c r="JH170" s="14"/>
      <c r="JI170" s="14"/>
      <c r="JJ170" s="14"/>
      <c r="JK170" s="14"/>
      <c r="JL170" s="14"/>
      <c r="JM170" s="14"/>
      <c r="JN170" s="14"/>
      <c r="JO170" s="14"/>
      <c r="JP170" s="14"/>
      <c r="JQ170" s="14"/>
      <c r="JR170" s="14"/>
      <c r="JS170" s="14"/>
      <c r="JT170" s="14"/>
      <c r="JU170" s="14"/>
      <c r="JV170" s="14"/>
      <c r="JW170" s="14"/>
      <c r="JX170" s="14"/>
      <c r="JY170" s="14"/>
      <c r="JZ170" s="14"/>
      <c r="KA170" s="14"/>
      <c r="KB170" s="14"/>
      <c r="KC170" s="14"/>
      <c r="KD170" s="14"/>
      <c r="KE170" s="14"/>
      <c r="KF170" s="14"/>
      <c r="KG170" s="14"/>
      <c r="KH170" s="14"/>
      <c r="KI170" s="14"/>
      <c r="KJ170" s="14"/>
      <c r="KK170" s="14"/>
      <c r="KL170" s="14"/>
      <c r="KM170" s="14"/>
      <c r="KN170" s="14"/>
      <c r="KO170" s="14"/>
      <c r="KP170" s="14"/>
      <c r="KQ170" s="14"/>
      <c r="KR170" s="14"/>
      <c r="KS170" s="14"/>
      <c r="KT170" s="14"/>
      <c r="KU170" s="14"/>
      <c r="KV170" s="14"/>
      <c r="KW170" s="14"/>
      <c r="KX170" s="14"/>
      <c r="KY170" s="14"/>
      <c r="KZ170" s="14"/>
      <c r="LA170" s="14"/>
      <c r="LB170" s="14"/>
      <c r="LC170" s="14"/>
      <c r="LD170" s="14"/>
      <c r="LE170" s="14"/>
      <c r="LF170" s="14"/>
      <c r="LG170" s="14"/>
      <c r="LH170" s="14"/>
      <c r="LI170" s="14"/>
      <c r="LJ170" s="14"/>
      <c r="LK170" s="14"/>
      <c r="LL170" s="14"/>
      <c r="LM170" s="14"/>
      <c r="LN170" s="14"/>
      <c r="LO170" s="14"/>
      <c r="LP170" s="14"/>
      <c r="LQ170" s="14"/>
      <c r="LR170" s="14"/>
      <c r="LS170" s="14"/>
      <c r="LT170" s="14"/>
      <c r="LU170" s="14"/>
      <c r="LV170" s="14"/>
      <c r="LW170" s="14"/>
      <c r="LX170" s="14"/>
      <c r="LY170" s="14"/>
      <c r="LZ170" s="14"/>
      <c r="MA170" s="14"/>
      <c r="MB170" s="14"/>
      <c r="MC170" s="14"/>
      <c r="MD170" s="14"/>
      <c r="ME170" s="14"/>
      <c r="MF170" s="14"/>
      <c r="MG170" s="14"/>
      <c r="MH170" s="14"/>
      <c r="MI170" s="14"/>
      <c r="MJ170" s="14"/>
      <c r="MK170" s="14"/>
      <c r="ML170" s="14"/>
      <c r="MM170" s="14"/>
      <c r="MN170" s="14"/>
      <c r="MO170" s="14"/>
      <c r="MP170" s="14"/>
      <c r="MQ170" s="14"/>
      <c r="MR170" s="14"/>
      <c r="MS170" s="14"/>
      <c r="MT170" s="14"/>
      <c r="MU170" s="14"/>
      <c r="MV170" s="14"/>
      <c r="MW170" s="14"/>
      <c r="MX170" s="14"/>
      <c r="MY170" s="14"/>
      <c r="MZ170" s="14"/>
      <c r="NA170" s="14"/>
      <c r="NB170" s="14"/>
      <c r="NC170" s="14"/>
      <c r="ND170" s="14"/>
      <c r="NE170" s="14"/>
      <c r="NF170" s="14"/>
      <c r="NG170" s="14"/>
      <c r="NH170" s="14"/>
      <c r="NI170" s="14"/>
      <c r="NJ170" s="14"/>
      <c r="NK170" s="14"/>
      <c r="NL170" s="14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</row>
    <row r="171" ht="13.5" customHeight="1">
      <c r="A171" s="2"/>
      <c r="B171" s="22"/>
      <c r="C171" s="2"/>
      <c r="D171" s="13"/>
      <c r="E171" s="3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4"/>
      <c r="DF171" s="14"/>
      <c r="DG171" s="14"/>
      <c r="DH171" s="14"/>
      <c r="DI171" s="14"/>
      <c r="DJ171" s="14"/>
      <c r="DK171" s="14"/>
      <c r="DL171" s="14"/>
      <c r="DM171" s="14"/>
      <c r="DN171" s="14"/>
      <c r="DO171" s="14"/>
      <c r="DP171" s="14"/>
      <c r="DQ171" s="14"/>
      <c r="DR171" s="14"/>
      <c r="DS171" s="14"/>
      <c r="DT171" s="14"/>
      <c r="DU171" s="14"/>
      <c r="DV171" s="14"/>
      <c r="DW171" s="14"/>
      <c r="DX171" s="14"/>
      <c r="DY171" s="14"/>
      <c r="DZ171" s="14"/>
      <c r="EA171" s="14"/>
      <c r="EB171" s="14"/>
      <c r="EC171" s="14"/>
      <c r="ED171" s="14"/>
      <c r="EE171" s="14"/>
      <c r="EF171" s="14"/>
      <c r="EG171" s="14"/>
      <c r="EH171" s="14"/>
      <c r="EI171" s="14"/>
      <c r="EJ171" s="14"/>
      <c r="EK171" s="14"/>
      <c r="EL171" s="14"/>
      <c r="EM171" s="14"/>
      <c r="EN171" s="14"/>
      <c r="EO171" s="14"/>
      <c r="EP171" s="14"/>
      <c r="EQ171" s="14"/>
      <c r="ER171" s="14"/>
      <c r="ES171" s="14"/>
      <c r="ET171" s="14"/>
      <c r="EU171" s="14"/>
      <c r="EV171" s="14"/>
      <c r="EW171" s="14"/>
      <c r="EX171" s="14"/>
      <c r="EY171" s="14"/>
      <c r="EZ171" s="14"/>
      <c r="FA171" s="14"/>
      <c r="FB171" s="14"/>
      <c r="FC171" s="14"/>
      <c r="FD171" s="14"/>
      <c r="FE171" s="14"/>
      <c r="FF171" s="14"/>
      <c r="FG171" s="14"/>
      <c r="FH171" s="14"/>
      <c r="FI171" s="14"/>
      <c r="FJ171" s="14"/>
      <c r="FK171" s="14"/>
      <c r="FL171" s="14"/>
      <c r="FM171" s="14"/>
      <c r="FN171" s="14"/>
      <c r="FO171" s="14"/>
      <c r="FP171" s="14"/>
      <c r="FQ171" s="14"/>
      <c r="FR171" s="14"/>
      <c r="FS171" s="14"/>
      <c r="FT171" s="14"/>
      <c r="FU171" s="14"/>
      <c r="FV171" s="14"/>
      <c r="FW171" s="14"/>
      <c r="FX171" s="14"/>
      <c r="FY171" s="14"/>
      <c r="FZ171" s="14"/>
      <c r="GA171" s="14"/>
      <c r="GB171" s="14"/>
      <c r="GC171" s="14"/>
      <c r="GD171" s="14"/>
      <c r="GE171" s="14"/>
      <c r="GF171" s="14"/>
      <c r="GG171" s="14"/>
      <c r="GH171" s="14"/>
      <c r="GI171" s="14"/>
      <c r="GJ171" s="14"/>
      <c r="GK171" s="14"/>
      <c r="GL171" s="14"/>
      <c r="GM171" s="14"/>
      <c r="GN171" s="14"/>
      <c r="GO171" s="14"/>
      <c r="GP171" s="14"/>
      <c r="GQ171" s="14"/>
      <c r="GR171" s="14"/>
      <c r="GS171" s="14"/>
      <c r="GT171" s="14"/>
      <c r="GU171" s="14"/>
      <c r="GV171" s="14"/>
      <c r="GW171" s="14"/>
      <c r="GX171" s="14"/>
      <c r="GY171" s="14"/>
      <c r="GZ171" s="14"/>
      <c r="HA171" s="14"/>
      <c r="HB171" s="14"/>
      <c r="HC171" s="14"/>
      <c r="HD171" s="14"/>
      <c r="HE171" s="14"/>
      <c r="HF171" s="14"/>
      <c r="HG171" s="14"/>
      <c r="HH171" s="14"/>
      <c r="HI171" s="14"/>
      <c r="HJ171" s="14"/>
      <c r="HK171" s="14"/>
      <c r="HL171" s="14"/>
      <c r="HM171" s="14"/>
      <c r="HN171" s="14"/>
      <c r="HO171" s="14"/>
      <c r="HP171" s="14"/>
      <c r="HQ171" s="14"/>
      <c r="HR171" s="14"/>
      <c r="HS171" s="14"/>
      <c r="HT171" s="14"/>
      <c r="HU171" s="14"/>
      <c r="HV171" s="14"/>
      <c r="HW171" s="14"/>
      <c r="HX171" s="14"/>
      <c r="HY171" s="14"/>
      <c r="HZ171" s="14"/>
      <c r="IA171" s="14"/>
      <c r="IB171" s="14"/>
      <c r="IC171" s="14"/>
      <c r="ID171" s="14"/>
      <c r="IE171" s="14"/>
      <c r="IF171" s="14"/>
      <c r="IG171" s="14"/>
      <c r="IH171" s="14"/>
      <c r="II171" s="14"/>
      <c r="IJ171" s="14"/>
      <c r="IK171" s="14"/>
      <c r="IL171" s="14"/>
      <c r="IM171" s="14"/>
      <c r="IN171" s="14"/>
      <c r="IO171" s="14"/>
      <c r="IP171" s="14"/>
      <c r="IQ171" s="14"/>
      <c r="IR171" s="14"/>
      <c r="IS171" s="14"/>
      <c r="IT171" s="14"/>
      <c r="IU171" s="14"/>
      <c r="IV171" s="14"/>
      <c r="IW171" s="14"/>
      <c r="IX171" s="14"/>
      <c r="IY171" s="14"/>
      <c r="IZ171" s="14"/>
      <c r="JA171" s="14"/>
      <c r="JB171" s="14"/>
      <c r="JC171" s="14"/>
      <c r="JD171" s="14"/>
      <c r="JE171" s="14"/>
      <c r="JF171" s="14"/>
      <c r="JG171" s="14"/>
      <c r="JH171" s="14"/>
      <c r="JI171" s="14"/>
      <c r="JJ171" s="14"/>
      <c r="JK171" s="14"/>
      <c r="JL171" s="14"/>
      <c r="JM171" s="14"/>
      <c r="JN171" s="14"/>
      <c r="JO171" s="14"/>
      <c r="JP171" s="14"/>
      <c r="JQ171" s="14"/>
      <c r="JR171" s="14"/>
      <c r="JS171" s="14"/>
      <c r="JT171" s="14"/>
      <c r="JU171" s="14"/>
      <c r="JV171" s="14"/>
      <c r="JW171" s="14"/>
      <c r="JX171" s="14"/>
      <c r="JY171" s="14"/>
      <c r="JZ171" s="14"/>
      <c r="KA171" s="14"/>
      <c r="KB171" s="14"/>
      <c r="KC171" s="14"/>
      <c r="KD171" s="14"/>
      <c r="KE171" s="14"/>
      <c r="KF171" s="14"/>
      <c r="KG171" s="14"/>
      <c r="KH171" s="14"/>
      <c r="KI171" s="14"/>
      <c r="KJ171" s="14"/>
      <c r="KK171" s="14"/>
      <c r="KL171" s="14"/>
      <c r="KM171" s="14"/>
      <c r="KN171" s="14"/>
      <c r="KO171" s="14"/>
      <c r="KP171" s="14"/>
      <c r="KQ171" s="14"/>
      <c r="KR171" s="14"/>
      <c r="KS171" s="14"/>
      <c r="KT171" s="14"/>
      <c r="KU171" s="14"/>
      <c r="KV171" s="14"/>
      <c r="KW171" s="14"/>
      <c r="KX171" s="14"/>
      <c r="KY171" s="14"/>
      <c r="KZ171" s="14"/>
      <c r="LA171" s="14"/>
      <c r="LB171" s="14"/>
      <c r="LC171" s="14"/>
      <c r="LD171" s="14"/>
      <c r="LE171" s="14"/>
      <c r="LF171" s="14"/>
      <c r="LG171" s="14"/>
      <c r="LH171" s="14"/>
      <c r="LI171" s="14"/>
      <c r="LJ171" s="14"/>
      <c r="LK171" s="14"/>
      <c r="LL171" s="14"/>
      <c r="LM171" s="14"/>
      <c r="LN171" s="14"/>
      <c r="LO171" s="14"/>
      <c r="LP171" s="14"/>
      <c r="LQ171" s="14"/>
      <c r="LR171" s="14"/>
      <c r="LS171" s="14"/>
      <c r="LT171" s="14"/>
      <c r="LU171" s="14"/>
      <c r="LV171" s="14"/>
      <c r="LW171" s="14"/>
      <c r="LX171" s="14"/>
      <c r="LY171" s="14"/>
      <c r="LZ171" s="14"/>
      <c r="MA171" s="14"/>
      <c r="MB171" s="14"/>
      <c r="MC171" s="14"/>
      <c r="MD171" s="14"/>
      <c r="ME171" s="14"/>
      <c r="MF171" s="14"/>
      <c r="MG171" s="14"/>
      <c r="MH171" s="14"/>
      <c r="MI171" s="14"/>
      <c r="MJ171" s="14"/>
      <c r="MK171" s="14"/>
      <c r="ML171" s="14"/>
      <c r="MM171" s="14"/>
      <c r="MN171" s="14"/>
      <c r="MO171" s="14"/>
      <c r="MP171" s="14"/>
      <c r="MQ171" s="14"/>
      <c r="MR171" s="14"/>
      <c r="MS171" s="14"/>
      <c r="MT171" s="14"/>
      <c r="MU171" s="14"/>
      <c r="MV171" s="14"/>
      <c r="MW171" s="14"/>
      <c r="MX171" s="14"/>
      <c r="MY171" s="14"/>
      <c r="MZ171" s="14"/>
      <c r="NA171" s="14"/>
      <c r="NB171" s="14"/>
      <c r="NC171" s="14"/>
      <c r="ND171" s="14"/>
      <c r="NE171" s="14"/>
      <c r="NF171" s="14"/>
      <c r="NG171" s="14"/>
      <c r="NH171" s="14"/>
      <c r="NI171" s="14"/>
      <c r="NJ171" s="14"/>
      <c r="NK171" s="14"/>
      <c r="NL171" s="14"/>
      <c r="NM171" s="3"/>
      <c r="NN171" s="3"/>
      <c r="NO171" s="3"/>
      <c r="NP171" s="3"/>
      <c r="NQ171" s="3"/>
      <c r="NR171" s="3"/>
      <c r="NS171" s="3"/>
      <c r="NT171" s="3"/>
      <c r="NU171" s="3"/>
      <c r="NV171" s="3"/>
      <c r="NW171" s="3"/>
      <c r="NX171" s="3"/>
      <c r="NY171" s="3"/>
      <c r="NZ171" s="3"/>
      <c r="OA171" s="3"/>
      <c r="OB171" s="3"/>
      <c r="OC171" s="3"/>
      <c r="OD171" s="3"/>
      <c r="OE171" s="3"/>
      <c r="OF171" s="3"/>
    </row>
    <row r="172" ht="13.5" customHeight="1">
      <c r="A172" s="2"/>
      <c r="B172" s="22"/>
      <c r="C172" s="2"/>
      <c r="D172" s="13"/>
      <c r="E172" s="3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  <c r="DL172" s="14"/>
      <c r="DM172" s="14"/>
      <c r="DN172" s="14"/>
      <c r="DO172" s="14"/>
      <c r="DP172" s="14"/>
      <c r="DQ172" s="14"/>
      <c r="DR172" s="14"/>
      <c r="DS172" s="14"/>
      <c r="DT172" s="14"/>
      <c r="DU172" s="14"/>
      <c r="DV172" s="14"/>
      <c r="DW172" s="14"/>
      <c r="DX172" s="14"/>
      <c r="DY172" s="14"/>
      <c r="DZ172" s="14"/>
      <c r="EA172" s="14"/>
      <c r="EB172" s="14"/>
      <c r="EC172" s="14"/>
      <c r="ED172" s="14"/>
      <c r="EE172" s="14"/>
      <c r="EF172" s="14"/>
      <c r="EG172" s="14"/>
      <c r="EH172" s="14"/>
      <c r="EI172" s="14"/>
      <c r="EJ172" s="14"/>
      <c r="EK172" s="14"/>
      <c r="EL172" s="14"/>
      <c r="EM172" s="14"/>
      <c r="EN172" s="14"/>
      <c r="EO172" s="14"/>
      <c r="EP172" s="14"/>
      <c r="EQ172" s="14"/>
      <c r="ER172" s="14"/>
      <c r="ES172" s="14"/>
      <c r="ET172" s="14"/>
      <c r="EU172" s="14"/>
      <c r="EV172" s="14"/>
      <c r="EW172" s="14"/>
      <c r="EX172" s="14"/>
      <c r="EY172" s="14"/>
      <c r="EZ172" s="14"/>
      <c r="FA172" s="14"/>
      <c r="FB172" s="14"/>
      <c r="FC172" s="14"/>
      <c r="FD172" s="14"/>
      <c r="FE172" s="14"/>
      <c r="FF172" s="14"/>
      <c r="FG172" s="14"/>
      <c r="FH172" s="14"/>
      <c r="FI172" s="14"/>
      <c r="FJ172" s="14"/>
      <c r="FK172" s="14"/>
      <c r="FL172" s="14"/>
      <c r="FM172" s="14"/>
      <c r="FN172" s="14"/>
      <c r="FO172" s="14"/>
      <c r="FP172" s="14"/>
      <c r="FQ172" s="14"/>
      <c r="FR172" s="14"/>
      <c r="FS172" s="14"/>
      <c r="FT172" s="14"/>
      <c r="FU172" s="14"/>
      <c r="FV172" s="14"/>
      <c r="FW172" s="14"/>
      <c r="FX172" s="14"/>
      <c r="FY172" s="14"/>
      <c r="FZ172" s="14"/>
      <c r="GA172" s="14"/>
      <c r="GB172" s="14"/>
      <c r="GC172" s="14"/>
      <c r="GD172" s="14"/>
      <c r="GE172" s="14"/>
      <c r="GF172" s="14"/>
      <c r="GG172" s="14"/>
      <c r="GH172" s="14"/>
      <c r="GI172" s="14"/>
      <c r="GJ172" s="14"/>
      <c r="GK172" s="14"/>
      <c r="GL172" s="14"/>
      <c r="GM172" s="14"/>
      <c r="GN172" s="14"/>
      <c r="GO172" s="14"/>
      <c r="GP172" s="14"/>
      <c r="GQ172" s="14"/>
      <c r="GR172" s="14"/>
      <c r="GS172" s="14"/>
      <c r="GT172" s="14"/>
      <c r="GU172" s="14"/>
      <c r="GV172" s="14"/>
      <c r="GW172" s="14"/>
      <c r="GX172" s="14"/>
      <c r="GY172" s="14"/>
      <c r="GZ172" s="14"/>
      <c r="HA172" s="14"/>
      <c r="HB172" s="14"/>
      <c r="HC172" s="14"/>
      <c r="HD172" s="14"/>
      <c r="HE172" s="14"/>
      <c r="HF172" s="14"/>
      <c r="HG172" s="14"/>
      <c r="HH172" s="14"/>
      <c r="HI172" s="14"/>
      <c r="HJ172" s="14"/>
      <c r="HK172" s="14"/>
      <c r="HL172" s="14"/>
      <c r="HM172" s="14"/>
      <c r="HN172" s="14"/>
      <c r="HO172" s="14"/>
      <c r="HP172" s="14"/>
      <c r="HQ172" s="14"/>
      <c r="HR172" s="14"/>
      <c r="HS172" s="14"/>
      <c r="HT172" s="14"/>
      <c r="HU172" s="14"/>
      <c r="HV172" s="14"/>
      <c r="HW172" s="14"/>
      <c r="HX172" s="14"/>
      <c r="HY172" s="14"/>
      <c r="HZ172" s="14"/>
      <c r="IA172" s="14"/>
      <c r="IB172" s="14"/>
      <c r="IC172" s="14"/>
      <c r="ID172" s="14"/>
      <c r="IE172" s="14"/>
      <c r="IF172" s="14"/>
      <c r="IG172" s="14"/>
      <c r="IH172" s="14"/>
      <c r="II172" s="14"/>
      <c r="IJ172" s="14"/>
      <c r="IK172" s="14"/>
      <c r="IL172" s="14"/>
      <c r="IM172" s="14"/>
      <c r="IN172" s="14"/>
      <c r="IO172" s="14"/>
      <c r="IP172" s="14"/>
      <c r="IQ172" s="14"/>
      <c r="IR172" s="14"/>
      <c r="IS172" s="14"/>
      <c r="IT172" s="14"/>
      <c r="IU172" s="14"/>
      <c r="IV172" s="14"/>
      <c r="IW172" s="14"/>
      <c r="IX172" s="14"/>
      <c r="IY172" s="14"/>
      <c r="IZ172" s="14"/>
      <c r="JA172" s="14"/>
      <c r="JB172" s="14"/>
      <c r="JC172" s="14"/>
      <c r="JD172" s="14"/>
      <c r="JE172" s="14"/>
      <c r="JF172" s="14"/>
      <c r="JG172" s="14"/>
      <c r="JH172" s="14"/>
      <c r="JI172" s="14"/>
      <c r="JJ172" s="14"/>
      <c r="JK172" s="14"/>
      <c r="JL172" s="14"/>
      <c r="JM172" s="14"/>
      <c r="JN172" s="14"/>
      <c r="JO172" s="14"/>
      <c r="JP172" s="14"/>
      <c r="JQ172" s="14"/>
      <c r="JR172" s="14"/>
      <c r="JS172" s="14"/>
      <c r="JT172" s="14"/>
      <c r="JU172" s="14"/>
      <c r="JV172" s="14"/>
      <c r="JW172" s="14"/>
      <c r="JX172" s="14"/>
      <c r="JY172" s="14"/>
      <c r="JZ172" s="14"/>
      <c r="KA172" s="14"/>
      <c r="KB172" s="14"/>
      <c r="KC172" s="14"/>
      <c r="KD172" s="14"/>
      <c r="KE172" s="14"/>
      <c r="KF172" s="14"/>
      <c r="KG172" s="14"/>
      <c r="KH172" s="14"/>
      <c r="KI172" s="14"/>
      <c r="KJ172" s="14"/>
      <c r="KK172" s="14"/>
      <c r="KL172" s="14"/>
      <c r="KM172" s="14"/>
      <c r="KN172" s="14"/>
      <c r="KO172" s="14"/>
      <c r="KP172" s="14"/>
      <c r="KQ172" s="14"/>
      <c r="KR172" s="14"/>
      <c r="KS172" s="14"/>
      <c r="KT172" s="14"/>
      <c r="KU172" s="14"/>
      <c r="KV172" s="14"/>
      <c r="KW172" s="14"/>
      <c r="KX172" s="14"/>
      <c r="KY172" s="14"/>
      <c r="KZ172" s="14"/>
      <c r="LA172" s="14"/>
      <c r="LB172" s="14"/>
      <c r="LC172" s="14"/>
      <c r="LD172" s="14"/>
      <c r="LE172" s="14"/>
      <c r="LF172" s="14"/>
      <c r="LG172" s="14"/>
      <c r="LH172" s="14"/>
      <c r="LI172" s="14"/>
      <c r="LJ172" s="14"/>
      <c r="LK172" s="14"/>
      <c r="LL172" s="14"/>
      <c r="LM172" s="14"/>
      <c r="LN172" s="14"/>
      <c r="LO172" s="14"/>
      <c r="LP172" s="14"/>
      <c r="LQ172" s="14"/>
      <c r="LR172" s="14"/>
      <c r="LS172" s="14"/>
      <c r="LT172" s="14"/>
      <c r="LU172" s="14"/>
      <c r="LV172" s="14"/>
      <c r="LW172" s="14"/>
      <c r="LX172" s="14"/>
      <c r="LY172" s="14"/>
      <c r="LZ172" s="14"/>
      <c r="MA172" s="14"/>
      <c r="MB172" s="14"/>
      <c r="MC172" s="14"/>
      <c r="MD172" s="14"/>
      <c r="ME172" s="14"/>
      <c r="MF172" s="14"/>
      <c r="MG172" s="14"/>
      <c r="MH172" s="14"/>
      <c r="MI172" s="14"/>
      <c r="MJ172" s="14"/>
      <c r="MK172" s="14"/>
      <c r="ML172" s="14"/>
      <c r="MM172" s="14"/>
      <c r="MN172" s="14"/>
      <c r="MO172" s="14"/>
      <c r="MP172" s="14"/>
      <c r="MQ172" s="14"/>
      <c r="MR172" s="14"/>
      <c r="MS172" s="14"/>
      <c r="MT172" s="14"/>
      <c r="MU172" s="14"/>
      <c r="MV172" s="14"/>
      <c r="MW172" s="14"/>
      <c r="MX172" s="14"/>
      <c r="MY172" s="14"/>
      <c r="MZ172" s="14"/>
      <c r="NA172" s="14"/>
      <c r="NB172" s="14"/>
      <c r="NC172" s="14"/>
      <c r="ND172" s="14"/>
      <c r="NE172" s="14"/>
      <c r="NF172" s="14"/>
      <c r="NG172" s="14"/>
      <c r="NH172" s="14"/>
      <c r="NI172" s="14"/>
      <c r="NJ172" s="14"/>
      <c r="NK172" s="14"/>
      <c r="NL172" s="14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</row>
    <row r="173" ht="13.5" customHeight="1">
      <c r="A173" s="2"/>
      <c r="B173" s="22"/>
      <c r="C173" s="2"/>
      <c r="D173" s="13"/>
      <c r="E173" s="3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  <c r="DI173" s="14"/>
      <c r="DJ173" s="14"/>
      <c r="DK173" s="14"/>
      <c r="DL173" s="14"/>
      <c r="DM173" s="14"/>
      <c r="DN173" s="14"/>
      <c r="DO173" s="14"/>
      <c r="DP173" s="14"/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4"/>
      <c r="ED173" s="14"/>
      <c r="EE173" s="14"/>
      <c r="EF173" s="14"/>
      <c r="EG173" s="14"/>
      <c r="EH173" s="14"/>
      <c r="EI173" s="14"/>
      <c r="EJ173" s="14"/>
      <c r="EK173" s="14"/>
      <c r="EL173" s="14"/>
      <c r="EM173" s="14"/>
      <c r="EN173" s="14"/>
      <c r="EO173" s="14"/>
      <c r="EP173" s="14"/>
      <c r="EQ173" s="14"/>
      <c r="ER173" s="14"/>
      <c r="ES173" s="14"/>
      <c r="ET173" s="14"/>
      <c r="EU173" s="14"/>
      <c r="EV173" s="14"/>
      <c r="EW173" s="14"/>
      <c r="EX173" s="14"/>
      <c r="EY173" s="14"/>
      <c r="EZ173" s="14"/>
      <c r="FA173" s="14"/>
      <c r="FB173" s="14"/>
      <c r="FC173" s="14"/>
      <c r="FD173" s="14"/>
      <c r="FE173" s="14"/>
      <c r="FF173" s="14"/>
      <c r="FG173" s="14"/>
      <c r="FH173" s="14"/>
      <c r="FI173" s="14"/>
      <c r="FJ173" s="14"/>
      <c r="FK173" s="14"/>
      <c r="FL173" s="14"/>
      <c r="FM173" s="14"/>
      <c r="FN173" s="14"/>
      <c r="FO173" s="14"/>
      <c r="FP173" s="14"/>
      <c r="FQ173" s="14"/>
      <c r="FR173" s="14"/>
      <c r="FS173" s="14"/>
      <c r="FT173" s="14"/>
      <c r="FU173" s="14"/>
      <c r="FV173" s="14"/>
      <c r="FW173" s="14"/>
      <c r="FX173" s="14"/>
      <c r="FY173" s="14"/>
      <c r="FZ173" s="14"/>
      <c r="GA173" s="14"/>
      <c r="GB173" s="14"/>
      <c r="GC173" s="14"/>
      <c r="GD173" s="14"/>
      <c r="GE173" s="14"/>
      <c r="GF173" s="14"/>
      <c r="GG173" s="14"/>
      <c r="GH173" s="14"/>
      <c r="GI173" s="14"/>
      <c r="GJ173" s="14"/>
      <c r="GK173" s="14"/>
      <c r="GL173" s="14"/>
      <c r="GM173" s="14"/>
      <c r="GN173" s="14"/>
      <c r="GO173" s="14"/>
      <c r="GP173" s="14"/>
      <c r="GQ173" s="14"/>
      <c r="GR173" s="14"/>
      <c r="GS173" s="14"/>
      <c r="GT173" s="14"/>
      <c r="GU173" s="14"/>
      <c r="GV173" s="14"/>
      <c r="GW173" s="14"/>
      <c r="GX173" s="14"/>
      <c r="GY173" s="14"/>
      <c r="GZ173" s="14"/>
      <c r="HA173" s="14"/>
      <c r="HB173" s="14"/>
      <c r="HC173" s="14"/>
      <c r="HD173" s="14"/>
      <c r="HE173" s="14"/>
      <c r="HF173" s="14"/>
      <c r="HG173" s="14"/>
      <c r="HH173" s="14"/>
      <c r="HI173" s="14"/>
      <c r="HJ173" s="14"/>
      <c r="HK173" s="14"/>
      <c r="HL173" s="14"/>
      <c r="HM173" s="14"/>
      <c r="HN173" s="14"/>
      <c r="HO173" s="14"/>
      <c r="HP173" s="14"/>
      <c r="HQ173" s="14"/>
      <c r="HR173" s="14"/>
      <c r="HS173" s="14"/>
      <c r="HT173" s="14"/>
      <c r="HU173" s="14"/>
      <c r="HV173" s="14"/>
      <c r="HW173" s="14"/>
      <c r="HX173" s="14"/>
      <c r="HY173" s="14"/>
      <c r="HZ173" s="14"/>
      <c r="IA173" s="14"/>
      <c r="IB173" s="14"/>
      <c r="IC173" s="14"/>
      <c r="ID173" s="14"/>
      <c r="IE173" s="14"/>
      <c r="IF173" s="14"/>
      <c r="IG173" s="14"/>
      <c r="IH173" s="14"/>
      <c r="II173" s="14"/>
      <c r="IJ173" s="14"/>
      <c r="IK173" s="14"/>
      <c r="IL173" s="14"/>
      <c r="IM173" s="14"/>
      <c r="IN173" s="14"/>
      <c r="IO173" s="14"/>
      <c r="IP173" s="14"/>
      <c r="IQ173" s="14"/>
      <c r="IR173" s="14"/>
      <c r="IS173" s="14"/>
      <c r="IT173" s="14"/>
      <c r="IU173" s="14"/>
      <c r="IV173" s="14"/>
      <c r="IW173" s="14"/>
      <c r="IX173" s="14"/>
      <c r="IY173" s="14"/>
      <c r="IZ173" s="14"/>
      <c r="JA173" s="14"/>
      <c r="JB173" s="14"/>
      <c r="JC173" s="14"/>
      <c r="JD173" s="14"/>
      <c r="JE173" s="14"/>
      <c r="JF173" s="14"/>
      <c r="JG173" s="14"/>
      <c r="JH173" s="14"/>
      <c r="JI173" s="14"/>
      <c r="JJ173" s="14"/>
      <c r="JK173" s="14"/>
      <c r="JL173" s="14"/>
      <c r="JM173" s="14"/>
      <c r="JN173" s="14"/>
      <c r="JO173" s="14"/>
      <c r="JP173" s="14"/>
      <c r="JQ173" s="14"/>
      <c r="JR173" s="14"/>
      <c r="JS173" s="14"/>
      <c r="JT173" s="14"/>
      <c r="JU173" s="14"/>
      <c r="JV173" s="14"/>
      <c r="JW173" s="14"/>
      <c r="JX173" s="14"/>
      <c r="JY173" s="14"/>
      <c r="JZ173" s="14"/>
      <c r="KA173" s="14"/>
      <c r="KB173" s="14"/>
      <c r="KC173" s="14"/>
      <c r="KD173" s="14"/>
      <c r="KE173" s="14"/>
      <c r="KF173" s="14"/>
      <c r="KG173" s="14"/>
      <c r="KH173" s="14"/>
      <c r="KI173" s="14"/>
      <c r="KJ173" s="14"/>
      <c r="KK173" s="14"/>
      <c r="KL173" s="14"/>
      <c r="KM173" s="14"/>
      <c r="KN173" s="14"/>
      <c r="KO173" s="14"/>
      <c r="KP173" s="14"/>
      <c r="KQ173" s="14"/>
      <c r="KR173" s="14"/>
      <c r="KS173" s="14"/>
      <c r="KT173" s="14"/>
      <c r="KU173" s="14"/>
      <c r="KV173" s="14"/>
      <c r="KW173" s="14"/>
      <c r="KX173" s="14"/>
      <c r="KY173" s="14"/>
      <c r="KZ173" s="14"/>
      <c r="LA173" s="14"/>
      <c r="LB173" s="14"/>
      <c r="LC173" s="14"/>
      <c r="LD173" s="14"/>
      <c r="LE173" s="14"/>
      <c r="LF173" s="14"/>
      <c r="LG173" s="14"/>
      <c r="LH173" s="14"/>
      <c r="LI173" s="14"/>
      <c r="LJ173" s="14"/>
      <c r="LK173" s="14"/>
      <c r="LL173" s="14"/>
      <c r="LM173" s="14"/>
      <c r="LN173" s="14"/>
      <c r="LO173" s="14"/>
      <c r="LP173" s="14"/>
      <c r="LQ173" s="14"/>
      <c r="LR173" s="14"/>
      <c r="LS173" s="14"/>
      <c r="LT173" s="14"/>
      <c r="LU173" s="14"/>
      <c r="LV173" s="14"/>
      <c r="LW173" s="14"/>
      <c r="LX173" s="14"/>
      <c r="LY173" s="14"/>
      <c r="LZ173" s="14"/>
      <c r="MA173" s="14"/>
      <c r="MB173" s="14"/>
      <c r="MC173" s="14"/>
      <c r="MD173" s="14"/>
      <c r="ME173" s="14"/>
      <c r="MF173" s="14"/>
      <c r="MG173" s="14"/>
      <c r="MH173" s="14"/>
      <c r="MI173" s="14"/>
      <c r="MJ173" s="14"/>
      <c r="MK173" s="14"/>
      <c r="ML173" s="14"/>
      <c r="MM173" s="14"/>
      <c r="MN173" s="14"/>
      <c r="MO173" s="14"/>
      <c r="MP173" s="14"/>
      <c r="MQ173" s="14"/>
      <c r="MR173" s="14"/>
      <c r="MS173" s="14"/>
      <c r="MT173" s="14"/>
      <c r="MU173" s="14"/>
      <c r="MV173" s="14"/>
      <c r="MW173" s="14"/>
      <c r="MX173" s="14"/>
      <c r="MY173" s="14"/>
      <c r="MZ173" s="14"/>
      <c r="NA173" s="14"/>
      <c r="NB173" s="14"/>
      <c r="NC173" s="14"/>
      <c r="ND173" s="14"/>
      <c r="NE173" s="14"/>
      <c r="NF173" s="14"/>
      <c r="NG173" s="14"/>
      <c r="NH173" s="14"/>
      <c r="NI173" s="14"/>
      <c r="NJ173" s="14"/>
      <c r="NK173" s="14"/>
      <c r="NL173" s="14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</row>
    <row r="174" ht="13.5" customHeight="1">
      <c r="A174" s="2"/>
      <c r="B174" s="22"/>
      <c r="C174" s="2"/>
      <c r="D174" s="13"/>
      <c r="E174" s="3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4"/>
      <c r="DF174" s="14"/>
      <c r="DG174" s="14"/>
      <c r="DH174" s="14"/>
      <c r="DI174" s="14"/>
      <c r="DJ174" s="14"/>
      <c r="DK174" s="14"/>
      <c r="DL174" s="14"/>
      <c r="DM174" s="14"/>
      <c r="DN174" s="14"/>
      <c r="DO174" s="14"/>
      <c r="DP174" s="14"/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4"/>
      <c r="ED174" s="14"/>
      <c r="EE174" s="14"/>
      <c r="EF174" s="14"/>
      <c r="EG174" s="14"/>
      <c r="EH174" s="14"/>
      <c r="EI174" s="14"/>
      <c r="EJ174" s="14"/>
      <c r="EK174" s="14"/>
      <c r="EL174" s="14"/>
      <c r="EM174" s="14"/>
      <c r="EN174" s="14"/>
      <c r="EO174" s="14"/>
      <c r="EP174" s="14"/>
      <c r="EQ174" s="14"/>
      <c r="ER174" s="14"/>
      <c r="ES174" s="14"/>
      <c r="ET174" s="14"/>
      <c r="EU174" s="14"/>
      <c r="EV174" s="14"/>
      <c r="EW174" s="14"/>
      <c r="EX174" s="14"/>
      <c r="EY174" s="14"/>
      <c r="EZ174" s="14"/>
      <c r="FA174" s="14"/>
      <c r="FB174" s="14"/>
      <c r="FC174" s="14"/>
      <c r="FD174" s="14"/>
      <c r="FE174" s="14"/>
      <c r="FF174" s="14"/>
      <c r="FG174" s="14"/>
      <c r="FH174" s="14"/>
      <c r="FI174" s="14"/>
      <c r="FJ174" s="14"/>
      <c r="FK174" s="14"/>
      <c r="FL174" s="14"/>
      <c r="FM174" s="14"/>
      <c r="FN174" s="14"/>
      <c r="FO174" s="14"/>
      <c r="FP174" s="14"/>
      <c r="FQ174" s="14"/>
      <c r="FR174" s="14"/>
      <c r="FS174" s="14"/>
      <c r="FT174" s="14"/>
      <c r="FU174" s="14"/>
      <c r="FV174" s="14"/>
      <c r="FW174" s="14"/>
      <c r="FX174" s="14"/>
      <c r="FY174" s="14"/>
      <c r="FZ174" s="14"/>
      <c r="GA174" s="14"/>
      <c r="GB174" s="14"/>
      <c r="GC174" s="14"/>
      <c r="GD174" s="14"/>
      <c r="GE174" s="14"/>
      <c r="GF174" s="14"/>
      <c r="GG174" s="14"/>
      <c r="GH174" s="14"/>
      <c r="GI174" s="14"/>
      <c r="GJ174" s="14"/>
      <c r="GK174" s="14"/>
      <c r="GL174" s="14"/>
      <c r="GM174" s="14"/>
      <c r="GN174" s="14"/>
      <c r="GO174" s="14"/>
      <c r="GP174" s="14"/>
      <c r="GQ174" s="14"/>
      <c r="GR174" s="14"/>
      <c r="GS174" s="14"/>
      <c r="GT174" s="14"/>
      <c r="GU174" s="14"/>
      <c r="GV174" s="14"/>
      <c r="GW174" s="14"/>
      <c r="GX174" s="14"/>
      <c r="GY174" s="14"/>
      <c r="GZ174" s="14"/>
      <c r="HA174" s="14"/>
      <c r="HB174" s="14"/>
      <c r="HC174" s="14"/>
      <c r="HD174" s="14"/>
      <c r="HE174" s="14"/>
      <c r="HF174" s="14"/>
      <c r="HG174" s="14"/>
      <c r="HH174" s="14"/>
      <c r="HI174" s="14"/>
      <c r="HJ174" s="14"/>
      <c r="HK174" s="14"/>
      <c r="HL174" s="14"/>
      <c r="HM174" s="14"/>
      <c r="HN174" s="14"/>
      <c r="HO174" s="14"/>
      <c r="HP174" s="14"/>
      <c r="HQ174" s="14"/>
      <c r="HR174" s="14"/>
      <c r="HS174" s="14"/>
      <c r="HT174" s="14"/>
      <c r="HU174" s="14"/>
      <c r="HV174" s="14"/>
      <c r="HW174" s="14"/>
      <c r="HX174" s="14"/>
      <c r="HY174" s="14"/>
      <c r="HZ174" s="14"/>
      <c r="IA174" s="14"/>
      <c r="IB174" s="14"/>
      <c r="IC174" s="14"/>
      <c r="ID174" s="14"/>
      <c r="IE174" s="14"/>
      <c r="IF174" s="14"/>
      <c r="IG174" s="14"/>
      <c r="IH174" s="14"/>
      <c r="II174" s="14"/>
      <c r="IJ174" s="14"/>
      <c r="IK174" s="14"/>
      <c r="IL174" s="14"/>
      <c r="IM174" s="14"/>
      <c r="IN174" s="14"/>
      <c r="IO174" s="14"/>
      <c r="IP174" s="14"/>
      <c r="IQ174" s="14"/>
      <c r="IR174" s="14"/>
      <c r="IS174" s="14"/>
      <c r="IT174" s="14"/>
      <c r="IU174" s="14"/>
      <c r="IV174" s="14"/>
      <c r="IW174" s="14"/>
      <c r="IX174" s="14"/>
      <c r="IY174" s="14"/>
      <c r="IZ174" s="14"/>
      <c r="JA174" s="14"/>
      <c r="JB174" s="14"/>
      <c r="JC174" s="14"/>
      <c r="JD174" s="14"/>
      <c r="JE174" s="14"/>
      <c r="JF174" s="14"/>
      <c r="JG174" s="14"/>
      <c r="JH174" s="14"/>
      <c r="JI174" s="14"/>
      <c r="JJ174" s="14"/>
      <c r="JK174" s="14"/>
      <c r="JL174" s="14"/>
      <c r="JM174" s="14"/>
      <c r="JN174" s="14"/>
      <c r="JO174" s="14"/>
      <c r="JP174" s="14"/>
      <c r="JQ174" s="14"/>
      <c r="JR174" s="14"/>
      <c r="JS174" s="14"/>
      <c r="JT174" s="14"/>
      <c r="JU174" s="14"/>
      <c r="JV174" s="14"/>
      <c r="JW174" s="14"/>
      <c r="JX174" s="14"/>
      <c r="JY174" s="14"/>
      <c r="JZ174" s="14"/>
      <c r="KA174" s="14"/>
      <c r="KB174" s="14"/>
      <c r="KC174" s="14"/>
      <c r="KD174" s="14"/>
      <c r="KE174" s="14"/>
      <c r="KF174" s="14"/>
      <c r="KG174" s="14"/>
      <c r="KH174" s="14"/>
      <c r="KI174" s="14"/>
      <c r="KJ174" s="14"/>
      <c r="KK174" s="14"/>
      <c r="KL174" s="14"/>
      <c r="KM174" s="14"/>
      <c r="KN174" s="14"/>
      <c r="KO174" s="14"/>
      <c r="KP174" s="14"/>
      <c r="KQ174" s="14"/>
      <c r="KR174" s="14"/>
      <c r="KS174" s="14"/>
      <c r="KT174" s="14"/>
      <c r="KU174" s="14"/>
      <c r="KV174" s="14"/>
      <c r="KW174" s="14"/>
      <c r="KX174" s="14"/>
      <c r="KY174" s="14"/>
      <c r="KZ174" s="14"/>
      <c r="LA174" s="14"/>
      <c r="LB174" s="14"/>
      <c r="LC174" s="14"/>
      <c r="LD174" s="14"/>
      <c r="LE174" s="14"/>
      <c r="LF174" s="14"/>
      <c r="LG174" s="14"/>
      <c r="LH174" s="14"/>
      <c r="LI174" s="14"/>
      <c r="LJ174" s="14"/>
      <c r="LK174" s="14"/>
      <c r="LL174" s="14"/>
      <c r="LM174" s="14"/>
      <c r="LN174" s="14"/>
      <c r="LO174" s="14"/>
      <c r="LP174" s="14"/>
      <c r="LQ174" s="14"/>
      <c r="LR174" s="14"/>
      <c r="LS174" s="14"/>
      <c r="LT174" s="14"/>
      <c r="LU174" s="14"/>
      <c r="LV174" s="14"/>
      <c r="LW174" s="14"/>
      <c r="LX174" s="14"/>
      <c r="LY174" s="14"/>
      <c r="LZ174" s="14"/>
      <c r="MA174" s="14"/>
      <c r="MB174" s="14"/>
      <c r="MC174" s="14"/>
      <c r="MD174" s="14"/>
      <c r="ME174" s="14"/>
      <c r="MF174" s="14"/>
      <c r="MG174" s="14"/>
      <c r="MH174" s="14"/>
      <c r="MI174" s="14"/>
      <c r="MJ174" s="14"/>
      <c r="MK174" s="14"/>
      <c r="ML174" s="14"/>
      <c r="MM174" s="14"/>
      <c r="MN174" s="14"/>
      <c r="MO174" s="14"/>
      <c r="MP174" s="14"/>
      <c r="MQ174" s="14"/>
      <c r="MR174" s="14"/>
      <c r="MS174" s="14"/>
      <c r="MT174" s="14"/>
      <c r="MU174" s="14"/>
      <c r="MV174" s="14"/>
      <c r="MW174" s="14"/>
      <c r="MX174" s="14"/>
      <c r="MY174" s="14"/>
      <c r="MZ174" s="14"/>
      <c r="NA174" s="14"/>
      <c r="NB174" s="14"/>
      <c r="NC174" s="14"/>
      <c r="ND174" s="14"/>
      <c r="NE174" s="14"/>
      <c r="NF174" s="14"/>
      <c r="NG174" s="14"/>
      <c r="NH174" s="14"/>
      <c r="NI174" s="14"/>
      <c r="NJ174" s="14"/>
      <c r="NK174" s="14"/>
      <c r="NL174" s="14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</row>
    <row r="175" ht="13.5" customHeight="1">
      <c r="A175" s="2"/>
      <c r="B175" s="22"/>
      <c r="C175" s="2"/>
      <c r="D175" s="13"/>
      <c r="E175" s="3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4"/>
      <c r="DF175" s="14"/>
      <c r="DG175" s="14"/>
      <c r="DH175" s="14"/>
      <c r="DI175" s="14"/>
      <c r="DJ175" s="14"/>
      <c r="DK175" s="14"/>
      <c r="DL175" s="14"/>
      <c r="DM175" s="14"/>
      <c r="DN175" s="14"/>
      <c r="DO175" s="14"/>
      <c r="DP175" s="14"/>
      <c r="DQ175" s="14"/>
      <c r="DR175" s="14"/>
      <c r="DS175" s="14"/>
      <c r="DT175" s="14"/>
      <c r="DU175" s="14"/>
      <c r="DV175" s="14"/>
      <c r="DW175" s="14"/>
      <c r="DX175" s="14"/>
      <c r="DY175" s="14"/>
      <c r="DZ175" s="14"/>
      <c r="EA175" s="14"/>
      <c r="EB175" s="14"/>
      <c r="EC175" s="14"/>
      <c r="ED175" s="14"/>
      <c r="EE175" s="14"/>
      <c r="EF175" s="14"/>
      <c r="EG175" s="14"/>
      <c r="EH175" s="14"/>
      <c r="EI175" s="14"/>
      <c r="EJ175" s="14"/>
      <c r="EK175" s="14"/>
      <c r="EL175" s="14"/>
      <c r="EM175" s="14"/>
      <c r="EN175" s="14"/>
      <c r="EO175" s="14"/>
      <c r="EP175" s="14"/>
      <c r="EQ175" s="14"/>
      <c r="ER175" s="14"/>
      <c r="ES175" s="14"/>
      <c r="ET175" s="14"/>
      <c r="EU175" s="14"/>
      <c r="EV175" s="14"/>
      <c r="EW175" s="14"/>
      <c r="EX175" s="14"/>
      <c r="EY175" s="14"/>
      <c r="EZ175" s="14"/>
      <c r="FA175" s="14"/>
      <c r="FB175" s="14"/>
      <c r="FC175" s="14"/>
      <c r="FD175" s="14"/>
      <c r="FE175" s="14"/>
      <c r="FF175" s="14"/>
      <c r="FG175" s="14"/>
      <c r="FH175" s="14"/>
      <c r="FI175" s="14"/>
      <c r="FJ175" s="14"/>
      <c r="FK175" s="14"/>
      <c r="FL175" s="14"/>
      <c r="FM175" s="14"/>
      <c r="FN175" s="14"/>
      <c r="FO175" s="14"/>
      <c r="FP175" s="14"/>
      <c r="FQ175" s="14"/>
      <c r="FR175" s="14"/>
      <c r="FS175" s="14"/>
      <c r="FT175" s="14"/>
      <c r="FU175" s="14"/>
      <c r="FV175" s="14"/>
      <c r="FW175" s="14"/>
      <c r="FX175" s="14"/>
      <c r="FY175" s="14"/>
      <c r="FZ175" s="14"/>
      <c r="GA175" s="14"/>
      <c r="GB175" s="14"/>
      <c r="GC175" s="14"/>
      <c r="GD175" s="14"/>
      <c r="GE175" s="14"/>
      <c r="GF175" s="14"/>
      <c r="GG175" s="14"/>
      <c r="GH175" s="14"/>
      <c r="GI175" s="14"/>
      <c r="GJ175" s="14"/>
      <c r="GK175" s="14"/>
      <c r="GL175" s="14"/>
      <c r="GM175" s="14"/>
      <c r="GN175" s="14"/>
      <c r="GO175" s="14"/>
      <c r="GP175" s="14"/>
      <c r="GQ175" s="14"/>
      <c r="GR175" s="14"/>
      <c r="GS175" s="14"/>
      <c r="GT175" s="14"/>
      <c r="GU175" s="14"/>
      <c r="GV175" s="14"/>
      <c r="GW175" s="14"/>
      <c r="GX175" s="14"/>
      <c r="GY175" s="14"/>
      <c r="GZ175" s="14"/>
      <c r="HA175" s="14"/>
      <c r="HB175" s="14"/>
      <c r="HC175" s="14"/>
      <c r="HD175" s="14"/>
      <c r="HE175" s="14"/>
      <c r="HF175" s="14"/>
      <c r="HG175" s="14"/>
      <c r="HH175" s="14"/>
      <c r="HI175" s="14"/>
      <c r="HJ175" s="14"/>
      <c r="HK175" s="14"/>
      <c r="HL175" s="14"/>
      <c r="HM175" s="14"/>
      <c r="HN175" s="14"/>
      <c r="HO175" s="14"/>
      <c r="HP175" s="14"/>
      <c r="HQ175" s="14"/>
      <c r="HR175" s="14"/>
      <c r="HS175" s="14"/>
      <c r="HT175" s="14"/>
      <c r="HU175" s="14"/>
      <c r="HV175" s="14"/>
      <c r="HW175" s="14"/>
      <c r="HX175" s="14"/>
      <c r="HY175" s="14"/>
      <c r="HZ175" s="14"/>
      <c r="IA175" s="14"/>
      <c r="IB175" s="14"/>
      <c r="IC175" s="14"/>
      <c r="ID175" s="14"/>
      <c r="IE175" s="14"/>
      <c r="IF175" s="14"/>
      <c r="IG175" s="14"/>
      <c r="IH175" s="14"/>
      <c r="II175" s="14"/>
      <c r="IJ175" s="14"/>
      <c r="IK175" s="14"/>
      <c r="IL175" s="14"/>
      <c r="IM175" s="14"/>
      <c r="IN175" s="14"/>
      <c r="IO175" s="14"/>
      <c r="IP175" s="14"/>
      <c r="IQ175" s="14"/>
      <c r="IR175" s="14"/>
      <c r="IS175" s="14"/>
      <c r="IT175" s="14"/>
      <c r="IU175" s="14"/>
      <c r="IV175" s="14"/>
      <c r="IW175" s="14"/>
      <c r="IX175" s="14"/>
      <c r="IY175" s="14"/>
      <c r="IZ175" s="14"/>
      <c r="JA175" s="14"/>
      <c r="JB175" s="14"/>
      <c r="JC175" s="14"/>
      <c r="JD175" s="14"/>
      <c r="JE175" s="14"/>
      <c r="JF175" s="14"/>
      <c r="JG175" s="14"/>
      <c r="JH175" s="14"/>
      <c r="JI175" s="14"/>
      <c r="JJ175" s="14"/>
      <c r="JK175" s="14"/>
      <c r="JL175" s="14"/>
      <c r="JM175" s="14"/>
      <c r="JN175" s="14"/>
      <c r="JO175" s="14"/>
      <c r="JP175" s="14"/>
      <c r="JQ175" s="14"/>
      <c r="JR175" s="14"/>
      <c r="JS175" s="14"/>
      <c r="JT175" s="14"/>
      <c r="JU175" s="14"/>
      <c r="JV175" s="14"/>
      <c r="JW175" s="14"/>
      <c r="JX175" s="14"/>
      <c r="JY175" s="14"/>
      <c r="JZ175" s="14"/>
      <c r="KA175" s="14"/>
      <c r="KB175" s="14"/>
      <c r="KC175" s="14"/>
      <c r="KD175" s="14"/>
      <c r="KE175" s="14"/>
      <c r="KF175" s="14"/>
      <c r="KG175" s="14"/>
      <c r="KH175" s="14"/>
      <c r="KI175" s="14"/>
      <c r="KJ175" s="14"/>
      <c r="KK175" s="14"/>
      <c r="KL175" s="14"/>
      <c r="KM175" s="14"/>
      <c r="KN175" s="14"/>
      <c r="KO175" s="14"/>
      <c r="KP175" s="14"/>
      <c r="KQ175" s="14"/>
      <c r="KR175" s="14"/>
      <c r="KS175" s="14"/>
      <c r="KT175" s="14"/>
      <c r="KU175" s="14"/>
      <c r="KV175" s="14"/>
      <c r="KW175" s="14"/>
      <c r="KX175" s="14"/>
      <c r="KY175" s="14"/>
      <c r="KZ175" s="14"/>
      <c r="LA175" s="14"/>
      <c r="LB175" s="14"/>
      <c r="LC175" s="14"/>
      <c r="LD175" s="14"/>
      <c r="LE175" s="14"/>
      <c r="LF175" s="14"/>
      <c r="LG175" s="14"/>
      <c r="LH175" s="14"/>
      <c r="LI175" s="14"/>
      <c r="LJ175" s="14"/>
      <c r="LK175" s="14"/>
      <c r="LL175" s="14"/>
      <c r="LM175" s="14"/>
      <c r="LN175" s="14"/>
      <c r="LO175" s="14"/>
      <c r="LP175" s="14"/>
      <c r="LQ175" s="14"/>
      <c r="LR175" s="14"/>
      <c r="LS175" s="14"/>
      <c r="LT175" s="14"/>
      <c r="LU175" s="14"/>
      <c r="LV175" s="14"/>
      <c r="LW175" s="14"/>
      <c r="LX175" s="14"/>
      <c r="LY175" s="14"/>
      <c r="LZ175" s="14"/>
      <c r="MA175" s="14"/>
      <c r="MB175" s="14"/>
      <c r="MC175" s="14"/>
      <c r="MD175" s="14"/>
      <c r="ME175" s="14"/>
      <c r="MF175" s="14"/>
      <c r="MG175" s="14"/>
      <c r="MH175" s="14"/>
      <c r="MI175" s="14"/>
      <c r="MJ175" s="14"/>
      <c r="MK175" s="14"/>
      <c r="ML175" s="14"/>
      <c r="MM175" s="14"/>
      <c r="MN175" s="14"/>
      <c r="MO175" s="14"/>
      <c r="MP175" s="14"/>
      <c r="MQ175" s="14"/>
      <c r="MR175" s="14"/>
      <c r="MS175" s="14"/>
      <c r="MT175" s="14"/>
      <c r="MU175" s="14"/>
      <c r="MV175" s="14"/>
      <c r="MW175" s="14"/>
      <c r="MX175" s="14"/>
      <c r="MY175" s="14"/>
      <c r="MZ175" s="14"/>
      <c r="NA175" s="14"/>
      <c r="NB175" s="14"/>
      <c r="NC175" s="14"/>
      <c r="ND175" s="14"/>
      <c r="NE175" s="14"/>
      <c r="NF175" s="14"/>
      <c r="NG175" s="14"/>
      <c r="NH175" s="14"/>
      <c r="NI175" s="14"/>
      <c r="NJ175" s="14"/>
      <c r="NK175" s="14"/>
      <c r="NL175" s="14"/>
      <c r="NM175" s="3"/>
      <c r="NN175" s="3"/>
      <c r="NO175" s="3"/>
      <c r="NP175" s="3"/>
      <c r="NQ175" s="3"/>
      <c r="NR175" s="3"/>
      <c r="NS175" s="3"/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</row>
    <row r="176" ht="13.5" customHeight="1">
      <c r="A176" s="2"/>
      <c r="B176" s="22"/>
      <c r="C176" s="2"/>
      <c r="D176" s="13"/>
      <c r="E176" s="3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  <c r="DI176" s="14"/>
      <c r="DJ176" s="14"/>
      <c r="DK176" s="14"/>
      <c r="DL176" s="14"/>
      <c r="DM176" s="14"/>
      <c r="DN176" s="14"/>
      <c r="DO176" s="14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4"/>
      <c r="EJ176" s="14"/>
      <c r="EK176" s="14"/>
      <c r="EL176" s="14"/>
      <c r="EM176" s="14"/>
      <c r="EN176" s="14"/>
      <c r="EO176" s="14"/>
      <c r="EP176" s="14"/>
      <c r="EQ176" s="14"/>
      <c r="ER176" s="14"/>
      <c r="ES176" s="14"/>
      <c r="ET176" s="14"/>
      <c r="EU176" s="14"/>
      <c r="EV176" s="14"/>
      <c r="EW176" s="14"/>
      <c r="EX176" s="14"/>
      <c r="EY176" s="14"/>
      <c r="EZ176" s="14"/>
      <c r="FA176" s="14"/>
      <c r="FB176" s="14"/>
      <c r="FC176" s="14"/>
      <c r="FD176" s="14"/>
      <c r="FE176" s="14"/>
      <c r="FF176" s="14"/>
      <c r="FG176" s="14"/>
      <c r="FH176" s="14"/>
      <c r="FI176" s="14"/>
      <c r="FJ176" s="14"/>
      <c r="FK176" s="14"/>
      <c r="FL176" s="14"/>
      <c r="FM176" s="14"/>
      <c r="FN176" s="14"/>
      <c r="FO176" s="14"/>
      <c r="FP176" s="14"/>
      <c r="FQ176" s="14"/>
      <c r="FR176" s="14"/>
      <c r="FS176" s="14"/>
      <c r="FT176" s="14"/>
      <c r="FU176" s="14"/>
      <c r="FV176" s="14"/>
      <c r="FW176" s="14"/>
      <c r="FX176" s="14"/>
      <c r="FY176" s="14"/>
      <c r="FZ176" s="14"/>
      <c r="GA176" s="14"/>
      <c r="GB176" s="14"/>
      <c r="GC176" s="14"/>
      <c r="GD176" s="14"/>
      <c r="GE176" s="14"/>
      <c r="GF176" s="14"/>
      <c r="GG176" s="14"/>
      <c r="GH176" s="14"/>
      <c r="GI176" s="14"/>
      <c r="GJ176" s="14"/>
      <c r="GK176" s="14"/>
      <c r="GL176" s="14"/>
      <c r="GM176" s="14"/>
      <c r="GN176" s="14"/>
      <c r="GO176" s="14"/>
      <c r="GP176" s="14"/>
      <c r="GQ176" s="14"/>
      <c r="GR176" s="14"/>
      <c r="GS176" s="14"/>
      <c r="GT176" s="14"/>
      <c r="GU176" s="14"/>
      <c r="GV176" s="14"/>
      <c r="GW176" s="14"/>
      <c r="GX176" s="14"/>
      <c r="GY176" s="14"/>
      <c r="GZ176" s="14"/>
      <c r="HA176" s="14"/>
      <c r="HB176" s="14"/>
      <c r="HC176" s="14"/>
      <c r="HD176" s="14"/>
      <c r="HE176" s="14"/>
      <c r="HF176" s="14"/>
      <c r="HG176" s="14"/>
      <c r="HH176" s="14"/>
      <c r="HI176" s="14"/>
      <c r="HJ176" s="14"/>
      <c r="HK176" s="14"/>
      <c r="HL176" s="14"/>
      <c r="HM176" s="14"/>
      <c r="HN176" s="14"/>
      <c r="HO176" s="14"/>
      <c r="HP176" s="14"/>
      <c r="HQ176" s="14"/>
      <c r="HR176" s="14"/>
      <c r="HS176" s="14"/>
      <c r="HT176" s="14"/>
      <c r="HU176" s="14"/>
      <c r="HV176" s="14"/>
      <c r="HW176" s="14"/>
      <c r="HX176" s="14"/>
      <c r="HY176" s="14"/>
      <c r="HZ176" s="14"/>
      <c r="IA176" s="14"/>
      <c r="IB176" s="14"/>
      <c r="IC176" s="14"/>
      <c r="ID176" s="14"/>
      <c r="IE176" s="14"/>
      <c r="IF176" s="14"/>
      <c r="IG176" s="14"/>
      <c r="IH176" s="14"/>
      <c r="II176" s="14"/>
      <c r="IJ176" s="14"/>
      <c r="IK176" s="14"/>
      <c r="IL176" s="14"/>
      <c r="IM176" s="14"/>
      <c r="IN176" s="14"/>
      <c r="IO176" s="14"/>
      <c r="IP176" s="14"/>
      <c r="IQ176" s="14"/>
      <c r="IR176" s="14"/>
      <c r="IS176" s="14"/>
      <c r="IT176" s="14"/>
      <c r="IU176" s="14"/>
      <c r="IV176" s="14"/>
      <c r="IW176" s="14"/>
      <c r="IX176" s="14"/>
      <c r="IY176" s="14"/>
      <c r="IZ176" s="14"/>
      <c r="JA176" s="14"/>
      <c r="JB176" s="14"/>
      <c r="JC176" s="14"/>
      <c r="JD176" s="14"/>
      <c r="JE176" s="14"/>
      <c r="JF176" s="14"/>
      <c r="JG176" s="14"/>
      <c r="JH176" s="14"/>
      <c r="JI176" s="14"/>
      <c r="JJ176" s="14"/>
      <c r="JK176" s="14"/>
      <c r="JL176" s="14"/>
      <c r="JM176" s="14"/>
      <c r="JN176" s="14"/>
      <c r="JO176" s="14"/>
      <c r="JP176" s="14"/>
      <c r="JQ176" s="14"/>
      <c r="JR176" s="14"/>
      <c r="JS176" s="14"/>
      <c r="JT176" s="14"/>
      <c r="JU176" s="14"/>
      <c r="JV176" s="14"/>
      <c r="JW176" s="14"/>
      <c r="JX176" s="14"/>
      <c r="JY176" s="14"/>
      <c r="JZ176" s="14"/>
      <c r="KA176" s="14"/>
      <c r="KB176" s="14"/>
      <c r="KC176" s="14"/>
      <c r="KD176" s="14"/>
      <c r="KE176" s="14"/>
      <c r="KF176" s="14"/>
      <c r="KG176" s="14"/>
      <c r="KH176" s="14"/>
      <c r="KI176" s="14"/>
      <c r="KJ176" s="14"/>
      <c r="KK176" s="14"/>
      <c r="KL176" s="14"/>
      <c r="KM176" s="14"/>
      <c r="KN176" s="14"/>
      <c r="KO176" s="14"/>
      <c r="KP176" s="14"/>
      <c r="KQ176" s="14"/>
      <c r="KR176" s="14"/>
      <c r="KS176" s="14"/>
      <c r="KT176" s="14"/>
      <c r="KU176" s="14"/>
      <c r="KV176" s="14"/>
      <c r="KW176" s="14"/>
      <c r="KX176" s="14"/>
      <c r="KY176" s="14"/>
      <c r="KZ176" s="14"/>
      <c r="LA176" s="14"/>
      <c r="LB176" s="14"/>
      <c r="LC176" s="14"/>
      <c r="LD176" s="14"/>
      <c r="LE176" s="14"/>
      <c r="LF176" s="14"/>
      <c r="LG176" s="14"/>
      <c r="LH176" s="14"/>
      <c r="LI176" s="14"/>
      <c r="LJ176" s="14"/>
      <c r="LK176" s="14"/>
      <c r="LL176" s="14"/>
      <c r="LM176" s="14"/>
      <c r="LN176" s="14"/>
      <c r="LO176" s="14"/>
      <c r="LP176" s="14"/>
      <c r="LQ176" s="14"/>
      <c r="LR176" s="14"/>
      <c r="LS176" s="14"/>
      <c r="LT176" s="14"/>
      <c r="LU176" s="14"/>
      <c r="LV176" s="14"/>
      <c r="LW176" s="14"/>
      <c r="LX176" s="14"/>
      <c r="LY176" s="14"/>
      <c r="LZ176" s="14"/>
      <c r="MA176" s="14"/>
      <c r="MB176" s="14"/>
      <c r="MC176" s="14"/>
      <c r="MD176" s="14"/>
      <c r="ME176" s="14"/>
      <c r="MF176" s="14"/>
      <c r="MG176" s="14"/>
      <c r="MH176" s="14"/>
      <c r="MI176" s="14"/>
      <c r="MJ176" s="14"/>
      <c r="MK176" s="14"/>
      <c r="ML176" s="14"/>
      <c r="MM176" s="14"/>
      <c r="MN176" s="14"/>
      <c r="MO176" s="14"/>
      <c r="MP176" s="14"/>
      <c r="MQ176" s="14"/>
      <c r="MR176" s="14"/>
      <c r="MS176" s="14"/>
      <c r="MT176" s="14"/>
      <c r="MU176" s="14"/>
      <c r="MV176" s="14"/>
      <c r="MW176" s="14"/>
      <c r="MX176" s="14"/>
      <c r="MY176" s="14"/>
      <c r="MZ176" s="14"/>
      <c r="NA176" s="14"/>
      <c r="NB176" s="14"/>
      <c r="NC176" s="14"/>
      <c r="ND176" s="14"/>
      <c r="NE176" s="14"/>
      <c r="NF176" s="14"/>
      <c r="NG176" s="14"/>
      <c r="NH176" s="14"/>
      <c r="NI176" s="14"/>
      <c r="NJ176" s="14"/>
      <c r="NK176" s="14"/>
      <c r="NL176" s="14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</row>
    <row r="177" ht="13.5" customHeight="1">
      <c r="A177" s="2"/>
      <c r="B177" s="22"/>
      <c r="C177" s="2"/>
      <c r="D177" s="13"/>
      <c r="E177" s="3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  <c r="DI177" s="14"/>
      <c r="DJ177" s="14"/>
      <c r="DK177" s="14"/>
      <c r="DL177" s="14"/>
      <c r="DM177" s="14"/>
      <c r="DN177" s="14"/>
      <c r="DO177" s="14"/>
      <c r="DP177" s="14"/>
      <c r="DQ177" s="14"/>
      <c r="DR177" s="14"/>
      <c r="DS177" s="14"/>
      <c r="DT177" s="14"/>
      <c r="DU177" s="14"/>
      <c r="DV177" s="14"/>
      <c r="DW177" s="14"/>
      <c r="DX177" s="14"/>
      <c r="DY177" s="14"/>
      <c r="DZ177" s="14"/>
      <c r="EA177" s="14"/>
      <c r="EB177" s="14"/>
      <c r="EC177" s="14"/>
      <c r="ED177" s="14"/>
      <c r="EE177" s="14"/>
      <c r="EF177" s="14"/>
      <c r="EG177" s="14"/>
      <c r="EH177" s="14"/>
      <c r="EI177" s="14"/>
      <c r="EJ177" s="14"/>
      <c r="EK177" s="14"/>
      <c r="EL177" s="14"/>
      <c r="EM177" s="14"/>
      <c r="EN177" s="14"/>
      <c r="EO177" s="14"/>
      <c r="EP177" s="14"/>
      <c r="EQ177" s="14"/>
      <c r="ER177" s="14"/>
      <c r="ES177" s="14"/>
      <c r="ET177" s="14"/>
      <c r="EU177" s="14"/>
      <c r="EV177" s="14"/>
      <c r="EW177" s="14"/>
      <c r="EX177" s="14"/>
      <c r="EY177" s="14"/>
      <c r="EZ177" s="14"/>
      <c r="FA177" s="14"/>
      <c r="FB177" s="14"/>
      <c r="FC177" s="14"/>
      <c r="FD177" s="14"/>
      <c r="FE177" s="14"/>
      <c r="FF177" s="14"/>
      <c r="FG177" s="14"/>
      <c r="FH177" s="14"/>
      <c r="FI177" s="14"/>
      <c r="FJ177" s="14"/>
      <c r="FK177" s="14"/>
      <c r="FL177" s="14"/>
      <c r="FM177" s="14"/>
      <c r="FN177" s="14"/>
      <c r="FO177" s="14"/>
      <c r="FP177" s="14"/>
      <c r="FQ177" s="14"/>
      <c r="FR177" s="14"/>
      <c r="FS177" s="14"/>
      <c r="FT177" s="14"/>
      <c r="FU177" s="14"/>
      <c r="FV177" s="14"/>
      <c r="FW177" s="14"/>
      <c r="FX177" s="14"/>
      <c r="FY177" s="14"/>
      <c r="FZ177" s="14"/>
      <c r="GA177" s="14"/>
      <c r="GB177" s="14"/>
      <c r="GC177" s="14"/>
      <c r="GD177" s="14"/>
      <c r="GE177" s="14"/>
      <c r="GF177" s="14"/>
      <c r="GG177" s="14"/>
      <c r="GH177" s="14"/>
      <c r="GI177" s="14"/>
      <c r="GJ177" s="14"/>
      <c r="GK177" s="14"/>
      <c r="GL177" s="14"/>
      <c r="GM177" s="14"/>
      <c r="GN177" s="14"/>
      <c r="GO177" s="14"/>
      <c r="GP177" s="14"/>
      <c r="GQ177" s="14"/>
      <c r="GR177" s="14"/>
      <c r="GS177" s="14"/>
      <c r="GT177" s="14"/>
      <c r="GU177" s="14"/>
      <c r="GV177" s="14"/>
      <c r="GW177" s="14"/>
      <c r="GX177" s="14"/>
      <c r="GY177" s="14"/>
      <c r="GZ177" s="14"/>
      <c r="HA177" s="14"/>
      <c r="HB177" s="14"/>
      <c r="HC177" s="14"/>
      <c r="HD177" s="14"/>
      <c r="HE177" s="14"/>
      <c r="HF177" s="14"/>
      <c r="HG177" s="14"/>
      <c r="HH177" s="14"/>
      <c r="HI177" s="14"/>
      <c r="HJ177" s="14"/>
      <c r="HK177" s="14"/>
      <c r="HL177" s="14"/>
      <c r="HM177" s="14"/>
      <c r="HN177" s="14"/>
      <c r="HO177" s="14"/>
      <c r="HP177" s="14"/>
      <c r="HQ177" s="14"/>
      <c r="HR177" s="14"/>
      <c r="HS177" s="14"/>
      <c r="HT177" s="14"/>
      <c r="HU177" s="14"/>
      <c r="HV177" s="14"/>
      <c r="HW177" s="14"/>
      <c r="HX177" s="14"/>
      <c r="HY177" s="14"/>
      <c r="HZ177" s="14"/>
      <c r="IA177" s="14"/>
      <c r="IB177" s="14"/>
      <c r="IC177" s="14"/>
      <c r="ID177" s="14"/>
      <c r="IE177" s="14"/>
      <c r="IF177" s="14"/>
      <c r="IG177" s="14"/>
      <c r="IH177" s="14"/>
      <c r="II177" s="14"/>
      <c r="IJ177" s="14"/>
      <c r="IK177" s="14"/>
      <c r="IL177" s="14"/>
      <c r="IM177" s="14"/>
      <c r="IN177" s="14"/>
      <c r="IO177" s="14"/>
      <c r="IP177" s="14"/>
      <c r="IQ177" s="14"/>
      <c r="IR177" s="14"/>
      <c r="IS177" s="14"/>
      <c r="IT177" s="14"/>
      <c r="IU177" s="14"/>
      <c r="IV177" s="14"/>
      <c r="IW177" s="14"/>
      <c r="IX177" s="14"/>
      <c r="IY177" s="14"/>
      <c r="IZ177" s="14"/>
      <c r="JA177" s="14"/>
      <c r="JB177" s="14"/>
      <c r="JC177" s="14"/>
      <c r="JD177" s="14"/>
      <c r="JE177" s="14"/>
      <c r="JF177" s="14"/>
      <c r="JG177" s="14"/>
      <c r="JH177" s="14"/>
      <c r="JI177" s="14"/>
      <c r="JJ177" s="14"/>
      <c r="JK177" s="14"/>
      <c r="JL177" s="14"/>
      <c r="JM177" s="14"/>
      <c r="JN177" s="14"/>
      <c r="JO177" s="14"/>
      <c r="JP177" s="14"/>
      <c r="JQ177" s="14"/>
      <c r="JR177" s="14"/>
      <c r="JS177" s="14"/>
      <c r="JT177" s="14"/>
      <c r="JU177" s="14"/>
      <c r="JV177" s="14"/>
      <c r="JW177" s="14"/>
      <c r="JX177" s="14"/>
      <c r="JY177" s="14"/>
      <c r="JZ177" s="14"/>
      <c r="KA177" s="14"/>
      <c r="KB177" s="14"/>
      <c r="KC177" s="14"/>
      <c r="KD177" s="14"/>
      <c r="KE177" s="14"/>
      <c r="KF177" s="14"/>
      <c r="KG177" s="14"/>
      <c r="KH177" s="14"/>
      <c r="KI177" s="14"/>
      <c r="KJ177" s="14"/>
      <c r="KK177" s="14"/>
      <c r="KL177" s="14"/>
      <c r="KM177" s="14"/>
      <c r="KN177" s="14"/>
      <c r="KO177" s="14"/>
      <c r="KP177" s="14"/>
      <c r="KQ177" s="14"/>
      <c r="KR177" s="14"/>
      <c r="KS177" s="14"/>
      <c r="KT177" s="14"/>
      <c r="KU177" s="14"/>
      <c r="KV177" s="14"/>
      <c r="KW177" s="14"/>
      <c r="KX177" s="14"/>
      <c r="KY177" s="14"/>
      <c r="KZ177" s="14"/>
      <c r="LA177" s="14"/>
      <c r="LB177" s="14"/>
      <c r="LC177" s="14"/>
      <c r="LD177" s="14"/>
      <c r="LE177" s="14"/>
      <c r="LF177" s="14"/>
      <c r="LG177" s="14"/>
      <c r="LH177" s="14"/>
      <c r="LI177" s="14"/>
      <c r="LJ177" s="14"/>
      <c r="LK177" s="14"/>
      <c r="LL177" s="14"/>
      <c r="LM177" s="14"/>
      <c r="LN177" s="14"/>
      <c r="LO177" s="14"/>
      <c r="LP177" s="14"/>
      <c r="LQ177" s="14"/>
      <c r="LR177" s="14"/>
      <c r="LS177" s="14"/>
      <c r="LT177" s="14"/>
      <c r="LU177" s="14"/>
      <c r="LV177" s="14"/>
      <c r="LW177" s="14"/>
      <c r="LX177" s="14"/>
      <c r="LY177" s="14"/>
      <c r="LZ177" s="14"/>
      <c r="MA177" s="14"/>
      <c r="MB177" s="14"/>
      <c r="MC177" s="14"/>
      <c r="MD177" s="14"/>
      <c r="ME177" s="14"/>
      <c r="MF177" s="14"/>
      <c r="MG177" s="14"/>
      <c r="MH177" s="14"/>
      <c r="MI177" s="14"/>
      <c r="MJ177" s="14"/>
      <c r="MK177" s="14"/>
      <c r="ML177" s="14"/>
      <c r="MM177" s="14"/>
      <c r="MN177" s="14"/>
      <c r="MO177" s="14"/>
      <c r="MP177" s="14"/>
      <c r="MQ177" s="14"/>
      <c r="MR177" s="14"/>
      <c r="MS177" s="14"/>
      <c r="MT177" s="14"/>
      <c r="MU177" s="14"/>
      <c r="MV177" s="14"/>
      <c r="MW177" s="14"/>
      <c r="MX177" s="14"/>
      <c r="MY177" s="14"/>
      <c r="MZ177" s="14"/>
      <c r="NA177" s="14"/>
      <c r="NB177" s="14"/>
      <c r="NC177" s="14"/>
      <c r="ND177" s="14"/>
      <c r="NE177" s="14"/>
      <c r="NF177" s="14"/>
      <c r="NG177" s="14"/>
      <c r="NH177" s="14"/>
      <c r="NI177" s="14"/>
      <c r="NJ177" s="14"/>
      <c r="NK177" s="14"/>
      <c r="NL177" s="14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</row>
    <row r="178" ht="13.5" customHeight="1">
      <c r="A178" s="2"/>
      <c r="B178" s="22"/>
      <c r="C178" s="2"/>
      <c r="D178" s="13"/>
      <c r="E178" s="3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/>
      <c r="DF178" s="14"/>
      <c r="DG178" s="14"/>
      <c r="DH178" s="14"/>
      <c r="DI178" s="14"/>
      <c r="DJ178" s="14"/>
      <c r="DK178" s="14"/>
      <c r="DL178" s="14"/>
      <c r="DM178" s="14"/>
      <c r="DN178" s="14"/>
      <c r="DO178" s="14"/>
      <c r="DP178" s="14"/>
      <c r="DQ178" s="14"/>
      <c r="DR178" s="14"/>
      <c r="DS178" s="14"/>
      <c r="DT178" s="14"/>
      <c r="DU178" s="14"/>
      <c r="DV178" s="14"/>
      <c r="DW178" s="14"/>
      <c r="DX178" s="14"/>
      <c r="DY178" s="14"/>
      <c r="DZ178" s="14"/>
      <c r="EA178" s="14"/>
      <c r="EB178" s="14"/>
      <c r="EC178" s="14"/>
      <c r="ED178" s="14"/>
      <c r="EE178" s="14"/>
      <c r="EF178" s="14"/>
      <c r="EG178" s="14"/>
      <c r="EH178" s="14"/>
      <c r="EI178" s="14"/>
      <c r="EJ178" s="14"/>
      <c r="EK178" s="14"/>
      <c r="EL178" s="14"/>
      <c r="EM178" s="14"/>
      <c r="EN178" s="14"/>
      <c r="EO178" s="14"/>
      <c r="EP178" s="14"/>
      <c r="EQ178" s="14"/>
      <c r="ER178" s="14"/>
      <c r="ES178" s="14"/>
      <c r="ET178" s="14"/>
      <c r="EU178" s="14"/>
      <c r="EV178" s="14"/>
      <c r="EW178" s="14"/>
      <c r="EX178" s="14"/>
      <c r="EY178" s="14"/>
      <c r="EZ178" s="14"/>
      <c r="FA178" s="14"/>
      <c r="FB178" s="14"/>
      <c r="FC178" s="14"/>
      <c r="FD178" s="14"/>
      <c r="FE178" s="14"/>
      <c r="FF178" s="14"/>
      <c r="FG178" s="14"/>
      <c r="FH178" s="14"/>
      <c r="FI178" s="14"/>
      <c r="FJ178" s="14"/>
      <c r="FK178" s="14"/>
      <c r="FL178" s="14"/>
      <c r="FM178" s="14"/>
      <c r="FN178" s="14"/>
      <c r="FO178" s="14"/>
      <c r="FP178" s="14"/>
      <c r="FQ178" s="14"/>
      <c r="FR178" s="14"/>
      <c r="FS178" s="14"/>
      <c r="FT178" s="14"/>
      <c r="FU178" s="14"/>
      <c r="FV178" s="14"/>
      <c r="FW178" s="14"/>
      <c r="FX178" s="14"/>
      <c r="FY178" s="14"/>
      <c r="FZ178" s="14"/>
      <c r="GA178" s="14"/>
      <c r="GB178" s="14"/>
      <c r="GC178" s="14"/>
      <c r="GD178" s="14"/>
      <c r="GE178" s="14"/>
      <c r="GF178" s="14"/>
      <c r="GG178" s="14"/>
      <c r="GH178" s="14"/>
      <c r="GI178" s="14"/>
      <c r="GJ178" s="14"/>
      <c r="GK178" s="14"/>
      <c r="GL178" s="14"/>
      <c r="GM178" s="14"/>
      <c r="GN178" s="14"/>
      <c r="GO178" s="14"/>
      <c r="GP178" s="14"/>
      <c r="GQ178" s="14"/>
      <c r="GR178" s="14"/>
      <c r="GS178" s="14"/>
      <c r="GT178" s="14"/>
      <c r="GU178" s="14"/>
      <c r="GV178" s="14"/>
      <c r="GW178" s="14"/>
      <c r="GX178" s="14"/>
      <c r="GY178" s="14"/>
      <c r="GZ178" s="14"/>
      <c r="HA178" s="14"/>
      <c r="HB178" s="14"/>
      <c r="HC178" s="14"/>
      <c r="HD178" s="14"/>
      <c r="HE178" s="14"/>
      <c r="HF178" s="14"/>
      <c r="HG178" s="14"/>
      <c r="HH178" s="14"/>
      <c r="HI178" s="14"/>
      <c r="HJ178" s="14"/>
      <c r="HK178" s="14"/>
      <c r="HL178" s="14"/>
      <c r="HM178" s="14"/>
      <c r="HN178" s="14"/>
      <c r="HO178" s="14"/>
      <c r="HP178" s="14"/>
      <c r="HQ178" s="14"/>
      <c r="HR178" s="14"/>
      <c r="HS178" s="14"/>
      <c r="HT178" s="14"/>
      <c r="HU178" s="14"/>
      <c r="HV178" s="14"/>
      <c r="HW178" s="14"/>
      <c r="HX178" s="14"/>
      <c r="HY178" s="14"/>
      <c r="HZ178" s="14"/>
      <c r="IA178" s="14"/>
      <c r="IB178" s="14"/>
      <c r="IC178" s="14"/>
      <c r="ID178" s="14"/>
      <c r="IE178" s="14"/>
      <c r="IF178" s="14"/>
      <c r="IG178" s="14"/>
      <c r="IH178" s="14"/>
      <c r="II178" s="14"/>
      <c r="IJ178" s="14"/>
      <c r="IK178" s="14"/>
      <c r="IL178" s="14"/>
      <c r="IM178" s="14"/>
      <c r="IN178" s="14"/>
      <c r="IO178" s="14"/>
      <c r="IP178" s="14"/>
      <c r="IQ178" s="14"/>
      <c r="IR178" s="14"/>
      <c r="IS178" s="14"/>
      <c r="IT178" s="14"/>
      <c r="IU178" s="14"/>
      <c r="IV178" s="14"/>
      <c r="IW178" s="14"/>
      <c r="IX178" s="14"/>
      <c r="IY178" s="14"/>
      <c r="IZ178" s="14"/>
      <c r="JA178" s="14"/>
      <c r="JB178" s="14"/>
      <c r="JC178" s="14"/>
      <c r="JD178" s="14"/>
      <c r="JE178" s="14"/>
      <c r="JF178" s="14"/>
      <c r="JG178" s="14"/>
      <c r="JH178" s="14"/>
      <c r="JI178" s="14"/>
      <c r="JJ178" s="14"/>
      <c r="JK178" s="14"/>
      <c r="JL178" s="14"/>
      <c r="JM178" s="14"/>
      <c r="JN178" s="14"/>
      <c r="JO178" s="14"/>
      <c r="JP178" s="14"/>
      <c r="JQ178" s="14"/>
      <c r="JR178" s="14"/>
      <c r="JS178" s="14"/>
      <c r="JT178" s="14"/>
      <c r="JU178" s="14"/>
      <c r="JV178" s="14"/>
      <c r="JW178" s="14"/>
      <c r="JX178" s="14"/>
      <c r="JY178" s="14"/>
      <c r="JZ178" s="14"/>
      <c r="KA178" s="14"/>
      <c r="KB178" s="14"/>
      <c r="KC178" s="14"/>
      <c r="KD178" s="14"/>
      <c r="KE178" s="14"/>
      <c r="KF178" s="14"/>
      <c r="KG178" s="14"/>
      <c r="KH178" s="14"/>
      <c r="KI178" s="14"/>
      <c r="KJ178" s="14"/>
      <c r="KK178" s="14"/>
      <c r="KL178" s="14"/>
      <c r="KM178" s="14"/>
      <c r="KN178" s="14"/>
      <c r="KO178" s="14"/>
      <c r="KP178" s="14"/>
      <c r="KQ178" s="14"/>
      <c r="KR178" s="14"/>
      <c r="KS178" s="14"/>
      <c r="KT178" s="14"/>
      <c r="KU178" s="14"/>
      <c r="KV178" s="14"/>
      <c r="KW178" s="14"/>
      <c r="KX178" s="14"/>
      <c r="KY178" s="14"/>
      <c r="KZ178" s="14"/>
      <c r="LA178" s="14"/>
      <c r="LB178" s="14"/>
      <c r="LC178" s="14"/>
      <c r="LD178" s="14"/>
      <c r="LE178" s="14"/>
      <c r="LF178" s="14"/>
      <c r="LG178" s="14"/>
      <c r="LH178" s="14"/>
      <c r="LI178" s="14"/>
      <c r="LJ178" s="14"/>
      <c r="LK178" s="14"/>
      <c r="LL178" s="14"/>
      <c r="LM178" s="14"/>
      <c r="LN178" s="14"/>
      <c r="LO178" s="14"/>
      <c r="LP178" s="14"/>
      <c r="LQ178" s="14"/>
      <c r="LR178" s="14"/>
      <c r="LS178" s="14"/>
      <c r="LT178" s="14"/>
      <c r="LU178" s="14"/>
      <c r="LV178" s="14"/>
      <c r="LW178" s="14"/>
      <c r="LX178" s="14"/>
      <c r="LY178" s="14"/>
      <c r="LZ178" s="14"/>
      <c r="MA178" s="14"/>
      <c r="MB178" s="14"/>
      <c r="MC178" s="14"/>
      <c r="MD178" s="14"/>
      <c r="ME178" s="14"/>
      <c r="MF178" s="14"/>
      <c r="MG178" s="14"/>
      <c r="MH178" s="14"/>
      <c r="MI178" s="14"/>
      <c r="MJ178" s="14"/>
      <c r="MK178" s="14"/>
      <c r="ML178" s="14"/>
      <c r="MM178" s="14"/>
      <c r="MN178" s="14"/>
      <c r="MO178" s="14"/>
      <c r="MP178" s="14"/>
      <c r="MQ178" s="14"/>
      <c r="MR178" s="14"/>
      <c r="MS178" s="14"/>
      <c r="MT178" s="14"/>
      <c r="MU178" s="14"/>
      <c r="MV178" s="14"/>
      <c r="MW178" s="14"/>
      <c r="MX178" s="14"/>
      <c r="MY178" s="14"/>
      <c r="MZ178" s="14"/>
      <c r="NA178" s="14"/>
      <c r="NB178" s="14"/>
      <c r="NC178" s="14"/>
      <c r="ND178" s="14"/>
      <c r="NE178" s="14"/>
      <c r="NF178" s="14"/>
      <c r="NG178" s="14"/>
      <c r="NH178" s="14"/>
      <c r="NI178" s="14"/>
      <c r="NJ178" s="14"/>
      <c r="NK178" s="14"/>
      <c r="NL178" s="14"/>
      <c r="NM178" s="3"/>
      <c r="NN178" s="3"/>
      <c r="NO178" s="3"/>
      <c r="NP178" s="3"/>
      <c r="NQ178" s="3"/>
      <c r="NR178" s="3"/>
      <c r="NS178" s="3"/>
      <c r="NT178" s="3"/>
      <c r="NU178" s="3"/>
      <c r="NV178" s="3"/>
      <c r="NW178" s="3"/>
      <c r="NX178" s="3"/>
      <c r="NY178" s="3"/>
      <c r="NZ178" s="3"/>
      <c r="OA178" s="3"/>
      <c r="OB178" s="3"/>
      <c r="OC178" s="3"/>
      <c r="OD178" s="3"/>
      <c r="OE178" s="3"/>
      <c r="OF178" s="3"/>
    </row>
    <row r="179" ht="13.5" customHeight="1">
      <c r="A179" s="2"/>
      <c r="B179" s="22"/>
      <c r="C179" s="2"/>
      <c r="D179" s="13"/>
      <c r="E179" s="3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4"/>
      <c r="DF179" s="14"/>
      <c r="DG179" s="14"/>
      <c r="DH179" s="14"/>
      <c r="DI179" s="14"/>
      <c r="DJ179" s="14"/>
      <c r="DK179" s="14"/>
      <c r="DL179" s="14"/>
      <c r="DM179" s="14"/>
      <c r="DN179" s="14"/>
      <c r="DO179" s="14"/>
      <c r="DP179" s="14"/>
      <c r="DQ179" s="14"/>
      <c r="DR179" s="14"/>
      <c r="DS179" s="14"/>
      <c r="DT179" s="14"/>
      <c r="DU179" s="14"/>
      <c r="DV179" s="14"/>
      <c r="DW179" s="14"/>
      <c r="DX179" s="14"/>
      <c r="DY179" s="14"/>
      <c r="DZ179" s="14"/>
      <c r="EA179" s="14"/>
      <c r="EB179" s="14"/>
      <c r="EC179" s="14"/>
      <c r="ED179" s="14"/>
      <c r="EE179" s="14"/>
      <c r="EF179" s="14"/>
      <c r="EG179" s="14"/>
      <c r="EH179" s="14"/>
      <c r="EI179" s="14"/>
      <c r="EJ179" s="14"/>
      <c r="EK179" s="14"/>
      <c r="EL179" s="14"/>
      <c r="EM179" s="14"/>
      <c r="EN179" s="14"/>
      <c r="EO179" s="14"/>
      <c r="EP179" s="14"/>
      <c r="EQ179" s="14"/>
      <c r="ER179" s="14"/>
      <c r="ES179" s="14"/>
      <c r="ET179" s="14"/>
      <c r="EU179" s="14"/>
      <c r="EV179" s="14"/>
      <c r="EW179" s="14"/>
      <c r="EX179" s="14"/>
      <c r="EY179" s="14"/>
      <c r="EZ179" s="14"/>
      <c r="FA179" s="14"/>
      <c r="FB179" s="14"/>
      <c r="FC179" s="14"/>
      <c r="FD179" s="14"/>
      <c r="FE179" s="14"/>
      <c r="FF179" s="14"/>
      <c r="FG179" s="14"/>
      <c r="FH179" s="14"/>
      <c r="FI179" s="14"/>
      <c r="FJ179" s="14"/>
      <c r="FK179" s="14"/>
      <c r="FL179" s="14"/>
      <c r="FM179" s="14"/>
      <c r="FN179" s="14"/>
      <c r="FO179" s="14"/>
      <c r="FP179" s="14"/>
      <c r="FQ179" s="14"/>
      <c r="FR179" s="14"/>
      <c r="FS179" s="14"/>
      <c r="FT179" s="14"/>
      <c r="FU179" s="14"/>
      <c r="FV179" s="14"/>
      <c r="FW179" s="14"/>
      <c r="FX179" s="14"/>
      <c r="FY179" s="14"/>
      <c r="FZ179" s="14"/>
      <c r="GA179" s="14"/>
      <c r="GB179" s="14"/>
      <c r="GC179" s="14"/>
      <c r="GD179" s="14"/>
      <c r="GE179" s="14"/>
      <c r="GF179" s="14"/>
      <c r="GG179" s="14"/>
      <c r="GH179" s="14"/>
      <c r="GI179" s="14"/>
      <c r="GJ179" s="14"/>
      <c r="GK179" s="14"/>
      <c r="GL179" s="14"/>
      <c r="GM179" s="14"/>
      <c r="GN179" s="14"/>
      <c r="GO179" s="14"/>
      <c r="GP179" s="14"/>
      <c r="GQ179" s="14"/>
      <c r="GR179" s="14"/>
      <c r="GS179" s="14"/>
      <c r="GT179" s="14"/>
      <c r="GU179" s="14"/>
      <c r="GV179" s="14"/>
      <c r="GW179" s="14"/>
      <c r="GX179" s="14"/>
      <c r="GY179" s="14"/>
      <c r="GZ179" s="14"/>
      <c r="HA179" s="14"/>
      <c r="HB179" s="14"/>
      <c r="HC179" s="14"/>
      <c r="HD179" s="14"/>
      <c r="HE179" s="14"/>
      <c r="HF179" s="14"/>
      <c r="HG179" s="14"/>
      <c r="HH179" s="14"/>
      <c r="HI179" s="14"/>
      <c r="HJ179" s="14"/>
      <c r="HK179" s="14"/>
      <c r="HL179" s="14"/>
      <c r="HM179" s="14"/>
      <c r="HN179" s="14"/>
      <c r="HO179" s="14"/>
      <c r="HP179" s="14"/>
      <c r="HQ179" s="14"/>
      <c r="HR179" s="14"/>
      <c r="HS179" s="14"/>
      <c r="HT179" s="14"/>
      <c r="HU179" s="14"/>
      <c r="HV179" s="14"/>
      <c r="HW179" s="14"/>
      <c r="HX179" s="14"/>
      <c r="HY179" s="14"/>
      <c r="HZ179" s="14"/>
      <c r="IA179" s="14"/>
      <c r="IB179" s="14"/>
      <c r="IC179" s="14"/>
      <c r="ID179" s="14"/>
      <c r="IE179" s="14"/>
      <c r="IF179" s="14"/>
      <c r="IG179" s="14"/>
      <c r="IH179" s="14"/>
      <c r="II179" s="14"/>
      <c r="IJ179" s="14"/>
      <c r="IK179" s="14"/>
      <c r="IL179" s="14"/>
      <c r="IM179" s="14"/>
      <c r="IN179" s="14"/>
      <c r="IO179" s="14"/>
      <c r="IP179" s="14"/>
      <c r="IQ179" s="14"/>
      <c r="IR179" s="14"/>
      <c r="IS179" s="14"/>
      <c r="IT179" s="14"/>
      <c r="IU179" s="14"/>
      <c r="IV179" s="14"/>
      <c r="IW179" s="14"/>
      <c r="IX179" s="14"/>
      <c r="IY179" s="14"/>
      <c r="IZ179" s="14"/>
      <c r="JA179" s="14"/>
      <c r="JB179" s="14"/>
      <c r="JC179" s="14"/>
      <c r="JD179" s="14"/>
      <c r="JE179" s="14"/>
      <c r="JF179" s="14"/>
      <c r="JG179" s="14"/>
      <c r="JH179" s="14"/>
      <c r="JI179" s="14"/>
      <c r="JJ179" s="14"/>
      <c r="JK179" s="14"/>
      <c r="JL179" s="14"/>
      <c r="JM179" s="14"/>
      <c r="JN179" s="14"/>
      <c r="JO179" s="14"/>
      <c r="JP179" s="14"/>
      <c r="JQ179" s="14"/>
      <c r="JR179" s="14"/>
      <c r="JS179" s="14"/>
      <c r="JT179" s="14"/>
      <c r="JU179" s="14"/>
      <c r="JV179" s="14"/>
      <c r="JW179" s="14"/>
      <c r="JX179" s="14"/>
      <c r="JY179" s="14"/>
      <c r="JZ179" s="14"/>
      <c r="KA179" s="14"/>
      <c r="KB179" s="14"/>
      <c r="KC179" s="14"/>
      <c r="KD179" s="14"/>
      <c r="KE179" s="14"/>
      <c r="KF179" s="14"/>
      <c r="KG179" s="14"/>
      <c r="KH179" s="14"/>
      <c r="KI179" s="14"/>
      <c r="KJ179" s="14"/>
      <c r="KK179" s="14"/>
      <c r="KL179" s="14"/>
      <c r="KM179" s="14"/>
      <c r="KN179" s="14"/>
      <c r="KO179" s="14"/>
      <c r="KP179" s="14"/>
      <c r="KQ179" s="14"/>
      <c r="KR179" s="14"/>
      <c r="KS179" s="14"/>
      <c r="KT179" s="14"/>
      <c r="KU179" s="14"/>
      <c r="KV179" s="14"/>
      <c r="KW179" s="14"/>
      <c r="KX179" s="14"/>
      <c r="KY179" s="14"/>
      <c r="KZ179" s="14"/>
      <c r="LA179" s="14"/>
      <c r="LB179" s="14"/>
      <c r="LC179" s="14"/>
      <c r="LD179" s="14"/>
      <c r="LE179" s="14"/>
      <c r="LF179" s="14"/>
      <c r="LG179" s="14"/>
      <c r="LH179" s="14"/>
      <c r="LI179" s="14"/>
      <c r="LJ179" s="14"/>
      <c r="LK179" s="14"/>
      <c r="LL179" s="14"/>
      <c r="LM179" s="14"/>
      <c r="LN179" s="14"/>
      <c r="LO179" s="14"/>
      <c r="LP179" s="14"/>
      <c r="LQ179" s="14"/>
      <c r="LR179" s="14"/>
      <c r="LS179" s="14"/>
      <c r="LT179" s="14"/>
      <c r="LU179" s="14"/>
      <c r="LV179" s="14"/>
      <c r="LW179" s="14"/>
      <c r="LX179" s="14"/>
      <c r="LY179" s="14"/>
      <c r="LZ179" s="14"/>
      <c r="MA179" s="14"/>
      <c r="MB179" s="14"/>
      <c r="MC179" s="14"/>
      <c r="MD179" s="14"/>
      <c r="ME179" s="14"/>
      <c r="MF179" s="14"/>
      <c r="MG179" s="14"/>
      <c r="MH179" s="14"/>
      <c r="MI179" s="14"/>
      <c r="MJ179" s="14"/>
      <c r="MK179" s="14"/>
      <c r="ML179" s="14"/>
      <c r="MM179" s="14"/>
      <c r="MN179" s="14"/>
      <c r="MO179" s="14"/>
      <c r="MP179" s="14"/>
      <c r="MQ179" s="14"/>
      <c r="MR179" s="14"/>
      <c r="MS179" s="14"/>
      <c r="MT179" s="14"/>
      <c r="MU179" s="14"/>
      <c r="MV179" s="14"/>
      <c r="MW179" s="14"/>
      <c r="MX179" s="14"/>
      <c r="MY179" s="14"/>
      <c r="MZ179" s="14"/>
      <c r="NA179" s="14"/>
      <c r="NB179" s="14"/>
      <c r="NC179" s="14"/>
      <c r="ND179" s="14"/>
      <c r="NE179" s="14"/>
      <c r="NF179" s="14"/>
      <c r="NG179" s="14"/>
      <c r="NH179" s="14"/>
      <c r="NI179" s="14"/>
      <c r="NJ179" s="14"/>
      <c r="NK179" s="14"/>
      <c r="NL179" s="14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</row>
    <row r="180" ht="13.5" customHeight="1">
      <c r="A180" s="2"/>
      <c r="B180" s="22"/>
      <c r="C180" s="2"/>
      <c r="D180" s="13"/>
      <c r="E180" s="3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4"/>
      <c r="DF180" s="14"/>
      <c r="DG180" s="14"/>
      <c r="DH180" s="14"/>
      <c r="DI180" s="14"/>
      <c r="DJ180" s="14"/>
      <c r="DK180" s="14"/>
      <c r="DL180" s="14"/>
      <c r="DM180" s="14"/>
      <c r="DN180" s="14"/>
      <c r="DO180" s="14"/>
      <c r="DP180" s="14"/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14"/>
      <c r="EH180" s="14"/>
      <c r="EI180" s="14"/>
      <c r="EJ180" s="14"/>
      <c r="EK180" s="14"/>
      <c r="EL180" s="14"/>
      <c r="EM180" s="14"/>
      <c r="EN180" s="14"/>
      <c r="EO180" s="14"/>
      <c r="EP180" s="14"/>
      <c r="EQ180" s="14"/>
      <c r="ER180" s="14"/>
      <c r="ES180" s="14"/>
      <c r="ET180" s="14"/>
      <c r="EU180" s="14"/>
      <c r="EV180" s="14"/>
      <c r="EW180" s="14"/>
      <c r="EX180" s="14"/>
      <c r="EY180" s="14"/>
      <c r="EZ180" s="14"/>
      <c r="FA180" s="14"/>
      <c r="FB180" s="14"/>
      <c r="FC180" s="14"/>
      <c r="FD180" s="14"/>
      <c r="FE180" s="14"/>
      <c r="FF180" s="14"/>
      <c r="FG180" s="14"/>
      <c r="FH180" s="14"/>
      <c r="FI180" s="14"/>
      <c r="FJ180" s="14"/>
      <c r="FK180" s="14"/>
      <c r="FL180" s="14"/>
      <c r="FM180" s="14"/>
      <c r="FN180" s="14"/>
      <c r="FO180" s="14"/>
      <c r="FP180" s="14"/>
      <c r="FQ180" s="14"/>
      <c r="FR180" s="14"/>
      <c r="FS180" s="14"/>
      <c r="FT180" s="14"/>
      <c r="FU180" s="14"/>
      <c r="FV180" s="14"/>
      <c r="FW180" s="14"/>
      <c r="FX180" s="14"/>
      <c r="FY180" s="14"/>
      <c r="FZ180" s="14"/>
      <c r="GA180" s="14"/>
      <c r="GB180" s="14"/>
      <c r="GC180" s="14"/>
      <c r="GD180" s="14"/>
      <c r="GE180" s="14"/>
      <c r="GF180" s="14"/>
      <c r="GG180" s="14"/>
      <c r="GH180" s="14"/>
      <c r="GI180" s="14"/>
      <c r="GJ180" s="14"/>
      <c r="GK180" s="14"/>
      <c r="GL180" s="14"/>
      <c r="GM180" s="14"/>
      <c r="GN180" s="14"/>
      <c r="GO180" s="14"/>
      <c r="GP180" s="14"/>
      <c r="GQ180" s="14"/>
      <c r="GR180" s="14"/>
      <c r="GS180" s="14"/>
      <c r="GT180" s="14"/>
      <c r="GU180" s="14"/>
      <c r="GV180" s="14"/>
      <c r="GW180" s="14"/>
      <c r="GX180" s="14"/>
      <c r="GY180" s="14"/>
      <c r="GZ180" s="14"/>
      <c r="HA180" s="14"/>
      <c r="HB180" s="14"/>
      <c r="HC180" s="14"/>
      <c r="HD180" s="14"/>
      <c r="HE180" s="14"/>
      <c r="HF180" s="14"/>
      <c r="HG180" s="14"/>
      <c r="HH180" s="14"/>
      <c r="HI180" s="14"/>
      <c r="HJ180" s="14"/>
      <c r="HK180" s="14"/>
      <c r="HL180" s="14"/>
      <c r="HM180" s="14"/>
      <c r="HN180" s="14"/>
      <c r="HO180" s="14"/>
      <c r="HP180" s="14"/>
      <c r="HQ180" s="14"/>
      <c r="HR180" s="14"/>
      <c r="HS180" s="14"/>
      <c r="HT180" s="14"/>
      <c r="HU180" s="14"/>
      <c r="HV180" s="14"/>
      <c r="HW180" s="14"/>
      <c r="HX180" s="14"/>
      <c r="HY180" s="14"/>
      <c r="HZ180" s="14"/>
      <c r="IA180" s="14"/>
      <c r="IB180" s="14"/>
      <c r="IC180" s="14"/>
      <c r="ID180" s="14"/>
      <c r="IE180" s="14"/>
      <c r="IF180" s="14"/>
      <c r="IG180" s="14"/>
      <c r="IH180" s="14"/>
      <c r="II180" s="14"/>
      <c r="IJ180" s="14"/>
      <c r="IK180" s="14"/>
      <c r="IL180" s="14"/>
      <c r="IM180" s="14"/>
      <c r="IN180" s="14"/>
      <c r="IO180" s="14"/>
      <c r="IP180" s="14"/>
      <c r="IQ180" s="14"/>
      <c r="IR180" s="14"/>
      <c r="IS180" s="14"/>
      <c r="IT180" s="14"/>
      <c r="IU180" s="14"/>
      <c r="IV180" s="14"/>
      <c r="IW180" s="14"/>
      <c r="IX180" s="14"/>
      <c r="IY180" s="14"/>
      <c r="IZ180" s="14"/>
      <c r="JA180" s="14"/>
      <c r="JB180" s="14"/>
      <c r="JC180" s="14"/>
      <c r="JD180" s="14"/>
      <c r="JE180" s="14"/>
      <c r="JF180" s="14"/>
      <c r="JG180" s="14"/>
      <c r="JH180" s="14"/>
      <c r="JI180" s="14"/>
      <c r="JJ180" s="14"/>
      <c r="JK180" s="14"/>
      <c r="JL180" s="14"/>
      <c r="JM180" s="14"/>
      <c r="JN180" s="14"/>
      <c r="JO180" s="14"/>
      <c r="JP180" s="14"/>
      <c r="JQ180" s="14"/>
      <c r="JR180" s="14"/>
      <c r="JS180" s="14"/>
      <c r="JT180" s="14"/>
      <c r="JU180" s="14"/>
      <c r="JV180" s="14"/>
      <c r="JW180" s="14"/>
      <c r="JX180" s="14"/>
      <c r="JY180" s="14"/>
      <c r="JZ180" s="14"/>
      <c r="KA180" s="14"/>
      <c r="KB180" s="14"/>
      <c r="KC180" s="14"/>
      <c r="KD180" s="14"/>
      <c r="KE180" s="14"/>
      <c r="KF180" s="14"/>
      <c r="KG180" s="14"/>
      <c r="KH180" s="14"/>
      <c r="KI180" s="14"/>
      <c r="KJ180" s="14"/>
      <c r="KK180" s="14"/>
      <c r="KL180" s="14"/>
      <c r="KM180" s="14"/>
      <c r="KN180" s="14"/>
      <c r="KO180" s="14"/>
      <c r="KP180" s="14"/>
      <c r="KQ180" s="14"/>
      <c r="KR180" s="14"/>
      <c r="KS180" s="14"/>
      <c r="KT180" s="14"/>
      <c r="KU180" s="14"/>
      <c r="KV180" s="14"/>
      <c r="KW180" s="14"/>
      <c r="KX180" s="14"/>
      <c r="KY180" s="14"/>
      <c r="KZ180" s="14"/>
      <c r="LA180" s="14"/>
      <c r="LB180" s="14"/>
      <c r="LC180" s="14"/>
      <c r="LD180" s="14"/>
      <c r="LE180" s="14"/>
      <c r="LF180" s="14"/>
      <c r="LG180" s="14"/>
      <c r="LH180" s="14"/>
      <c r="LI180" s="14"/>
      <c r="LJ180" s="14"/>
      <c r="LK180" s="14"/>
      <c r="LL180" s="14"/>
      <c r="LM180" s="14"/>
      <c r="LN180" s="14"/>
      <c r="LO180" s="14"/>
      <c r="LP180" s="14"/>
      <c r="LQ180" s="14"/>
      <c r="LR180" s="14"/>
      <c r="LS180" s="14"/>
      <c r="LT180" s="14"/>
      <c r="LU180" s="14"/>
      <c r="LV180" s="14"/>
      <c r="LW180" s="14"/>
      <c r="LX180" s="14"/>
      <c r="LY180" s="14"/>
      <c r="LZ180" s="14"/>
      <c r="MA180" s="14"/>
      <c r="MB180" s="14"/>
      <c r="MC180" s="14"/>
      <c r="MD180" s="14"/>
      <c r="ME180" s="14"/>
      <c r="MF180" s="14"/>
      <c r="MG180" s="14"/>
      <c r="MH180" s="14"/>
      <c r="MI180" s="14"/>
      <c r="MJ180" s="14"/>
      <c r="MK180" s="14"/>
      <c r="ML180" s="14"/>
      <c r="MM180" s="14"/>
      <c r="MN180" s="14"/>
      <c r="MO180" s="14"/>
      <c r="MP180" s="14"/>
      <c r="MQ180" s="14"/>
      <c r="MR180" s="14"/>
      <c r="MS180" s="14"/>
      <c r="MT180" s="14"/>
      <c r="MU180" s="14"/>
      <c r="MV180" s="14"/>
      <c r="MW180" s="14"/>
      <c r="MX180" s="14"/>
      <c r="MY180" s="14"/>
      <c r="MZ180" s="14"/>
      <c r="NA180" s="14"/>
      <c r="NB180" s="14"/>
      <c r="NC180" s="14"/>
      <c r="ND180" s="14"/>
      <c r="NE180" s="14"/>
      <c r="NF180" s="14"/>
      <c r="NG180" s="14"/>
      <c r="NH180" s="14"/>
      <c r="NI180" s="14"/>
      <c r="NJ180" s="14"/>
      <c r="NK180" s="14"/>
      <c r="NL180" s="14"/>
      <c r="NM180" s="3"/>
      <c r="NN180" s="3"/>
      <c r="NO180" s="3"/>
      <c r="NP180" s="3"/>
      <c r="NQ180" s="3"/>
      <c r="NR180" s="3"/>
      <c r="NS180" s="3"/>
      <c r="NT180" s="3"/>
      <c r="NU180" s="3"/>
      <c r="NV180" s="3"/>
      <c r="NW180" s="3"/>
      <c r="NX180" s="3"/>
      <c r="NY180" s="3"/>
      <c r="NZ180" s="3"/>
      <c r="OA180" s="3"/>
      <c r="OB180" s="3"/>
      <c r="OC180" s="3"/>
      <c r="OD180" s="3"/>
      <c r="OE180" s="3"/>
      <c r="OF180" s="3"/>
    </row>
    <row r="181" ht="13.5" customHeight="1">
      <c r="A181" s="2"/>
      <c r="B181" s="22"/>
      <c r="C181" s="2"/>
      <c r="D181" s="13"/>
      <c r="E181" s="3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4"/>
      <c r="DJ181" s="14"/>
      <c r="DK181" s="14"/>
      <c r="DL181" s="14"/>
      <c r="DM181" s="14"/>
      <c r="DN181" s="14"/>
      <c r="DO181" s="14"/>
      <c r="DP181" s="14"/>
      <c r="DQ181" s="14"/>
      <c r="DR181" s="14"/>
      <c r="DS181" s="14"/>
      <c r="DT181" s="14"/>
      <c r="DU181" s="14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14"/>
      <c r="EH181" s="14"/>
      <c r="EI181" s="14"/>
      <c r="EJ181" s="14"/>
      <c r="EK181" s="14"/>
      <c r="EL181" s="14"/>
      <c r="EM181" s="14"/>
      <c r="EN181" s="14"/>
      <c r="EO181" s="14"/>
      <c r="EP181" s="14"/>
      <c r="EQ181" s="14"/>
      <c r="ER181" s="14"/>
      <c r="ES181" s="14"/>
      <c r="ET181" s="14"/>
      <c r="EU181" s="14"/>
      <c r="EV181" s="14"/>
      <c r="EW181" s="14"/>
      <c r="EX181" s="14"/>
      <c r="EY181" s="14"/>
      <c r="EZ181" s="14"/>
      <c r="FA181" s="14"/>
      <c r="FB181" s="14"/>
      <c r="FC181" s="14"/>
      <c r="FD181" s="14"/>
      <c r="FE181" s="14"/>
      <c r="FF181" s="14"/>
      <c r="FG181" s="14"/>
      <c r="FH181" s="14"/>
      <c r="FI181" s="14"/>
      <c r="FJ181" s="14"/>
      <c r="FK181" s="14"/>
      <c r="FL181" s="14"/>
      <c r="FM181" s="14"/>
      <c r="FN181" s="14"/>
      <c r="FO181" s="14"/>
      <c r="FP181" s="14"/>
      <c r="FQ181" s="14"/>
      <c r="FR181" s="14"/>
      <c r="FS181" s="14"/>
      <c r="FT181" s="14"/>
      <c r="FU181" s="14"/>
      <c r="FV181" s="14"/>
      <c r="FW181" s="14"/>
      <c r="FX181" s="14"/>
      <c r="FY181" s="14"/>
      <c r="FZ181" s="14"/>
      <c r="GA181" s="14"/>
      <c r="GB181" s="14"/>
      <c r="GC181" s="14"/>
      <c r="GD181" s="14"/>
      <c r="GE181" s="14"/>
      <c r="GF181" s="14"/>
      <c r="GG181" s="14"/>
      <c r="GH181" s="14"/>
      <c r="GI181" s="14"/>
      <c r="GJ181" s="14"/>
      <c r="GK181" s="14"/>
      <c r="GL181" s="14"/>
      <c r="GM181" s="14"/>
      <c r="GN181" s="14"/>
      <c r="GO181" s="14"/>
      <c r="GP181" s="14"/>
      <c r="GQ181" s="14"/>
      <c r="GR181" s="14"/>
      <c r="GS181" s="14"/>
      <c r="GT181" s="14"/>
      <c r="GU181" s="14"/>
      <c r="GV181" s="14"/>
      <c r="GW181" s="14"/>
      <c r="GX181" s="14"/>
      <c r="GY181" s="14"/>
      <c r="GZ181" s="14"/>
      <c r="HA181" s="14"/>
      <c r="HB181" s="14"/>
      <c r="HC181" s="14"/>
      <c r="HD181" s="14"/>
      <c r="HE181" s="14"/>
      <c r="HF181" s="14"/>
      <c r="HG181" s="14"/>
      <c r="HH181" s="14"/>
      <c r="HI181" s="14"/>
      <c r="HJ181" s="14"/>
      <c r="HK181" s="14"/>
      <c r="HL181" s="14"/>
      <c r="HM181" s="14"/>
      <c r="HN181" s="14"/>
      <c r="HO181" s="14"/>
      <c r="HP181" s="14"/>
      <c r="HQ181" s="14"/>
      <c r="HR181" s="14"/>
      <c r="HS181" s="14"/>
      <c r="HT181" s="14"/>
      <c r="HU181" s="14"/>
      <c r="HV181" s="14"/>
      <c r="HW181" s="14"/>
      <c r="HX181" s="14"/>
      <c r="HY181" s="14"/>
      <c r="HZ181" s="14"/>
      <c r="IA181" s="14"/>
      <c r="IB181" s="14"/>
      <c r="IC181" s="14"/>
      <c r="ID181" s="14"/>
      <c r="IE181" s="14"/>
      <c r="IF181" s="14"/>
      <c r="IG181" s="14"/>
      <c r="IH181" s="14"/>
      <c r="II181" s="14"/>
      <c r="IJ181" s="14"/>
      <c r="IK181" s="14"/>
      <c r="IL181" s="14"/>
      <c r="IM181" s="14"/>
      <c r="IN181" s="14"/>
      <c r="IO181" s="14"/>
      <c r="IP181" s="14"/>
      <c r="IQ181" s="14"/>
      <c r="IR181" s="14"/>
      <c r="IS181" s="14"/>
      <c r="IT181" s="14"/>
      <c r="IU181" s="14"/>
      <c r="IV181" s="14"/>
      <c r="IW181" s="14"/>
      <c r="IX181" s="14"/>
      <c r="IY181" s="14"/>
      <c r="IZ181" s="14"/>
      <c r="JA181" s="14"/>
      <c r="JB181" s="14"/>
      <c r="JC181" s="14"/>
      <c r="JD181" s="14"/>
      <c r="JE181" s="14"/>
      <c r="JF181" s="14"/>
      <c r="JG181" s="14"/>
      <c r="JH181" s="14"/>
      <c r="JI181" s="14"/>
      <c r="JJ181" s="14"/>
      <c r="JK181" s="14"/>
      <c r="JL181" s="14"/>
      <c r="JM181" s="14"/>
      <c r="JN181" s="14"/>
      <c r="JO181" s="14"/>
      <c r="JP181" s="14"/>
      <c r="JQ181" s="14"/>
      <c r="JR181" s="14"/>
      <c r="JS181" s="14"/>
      <c r="JT181" s="14"/>
      <c r="JU181" s="14"/>
      <c r="JV181" s="14"/>
      <c r="JW181" s="14"/>
      <c r="JX181" s="14"/>
      <c r="JY181" s="14"/>
      <c r="JZ181" s="14"/>
      <c r="KA181" s="14"/>
      <c r="KB181" s="14"/>
      <c r="KC181" s="14"/>
      <c r="KD181" s="14"/>
      <c r="KE181" s="14"/>
      <c r="KF181" s="14"/>
      <c r="KG181" s="14"/>
      <c r="KH181" s="14"/>
      <c r="KI181" s="14"/>
      <c r="KJ181" s="14"/>
      <c r="KK181" s="14"/>
      <c r="KL181" s="14"/>
      <c r="KM181" s="14"/>
      <c r="KN181" s="14"/>
      <c r="KO181" s="14"/>
      <c r="KP181" s="14"/>
      <c r="KQ181" s="14"/>
      <c r="KR181" s="14"/>
      <c r="KS181" s="14"/>
      <c r="KT181" s="14"/>
      <c r="KU181" s="14"/>
      <c r="KV181" s="14"/>
      <c r="KW181" s="14"/>
      <c r="KX181" s="14"/>
      <c r="KY181" s="14"/>
      <c r="KZ181" s="14"/>
      <c r="LA181" s="14"/>
      <c r="LB181" s="14"/>
      <c r="LC181" s="14"/>
      <c r="LD181" s="14"/>
      <c r="LE181" s="14"/>
      <c r="LF181" s="14"/>
      <c r="LG181" s="14"/>
      <c r="LH181" s="14"/>
      <c r="LI181" s="14"/>
      <c r="LJ181" s="14"/>
      <c r="LK181" s="14"/>
      <c r="LL181" s="14"/>
      <c r="LM181" s="14"/>
      <c r="LN181" s="14"/>
      <c r="LO181" s="14"/>
      <c r="LP181" s="14"/>
      <c r="LQ181" s="14"/>
      <c r="LR181" s="14"/>
      <c r="LS181" s="14"/>
      <c r="LT181" s="14"/>
      <c r="LU181" s="14"/>
      <c r="LV181" s="14"/>
      <c r="LW181" s="14"/>
      <c r="LX181" s="14"/>
      <c r="LY181" s="14"/>
      <c r="LZ181" s="14"/>
      <c r="MA181" s="14"/>
      <c r="MB181" s="14"/>
      <c r="MC181" s="14"/>
      <c r="MD181" s="14"/>
      <c r="ME181" s="14"/>
      <c r="MF181" s="14"/>
      <c r="MG181" s="14"/>
      <c r="MH181" s="14"/>
      <c r="MI181" s="14"/>
      <c r="MJ181" s="14"/>
      <c r="MK181" s="14"/>
      <c r="ML181" s="14"/>
      <c r="MM181" s="14"/>
      <c r="MN181" s="14"/>
      <c r="MO181" s="14"/>
      <c r="MP181" s="14"/>
      <c r="MQ181" s="14"/>
      <c r="MR181" s="14"/>
      <c r="MS181" s="14"/>
      <c r="MT181" s="14"/>
      <c r="MU181" s="14"/>
      <c r="MV181" s="14"/>
      <c r="MW181" s="14"/>
      <c r="MX181" s="14"/>
      <c r="MY181" s="14"/>
      <c r="MZ181" s="14"/>
      <c r="NA181" s="14"/>
      <c r="NB181" s="14"/>
      <c r="NC181" s="14"/>
      <c r="ND181" s="14"/>
      <c r="NE181" s="14"/>
      <c r="NF181" s="14"/>
      <c r="NG181" s="14"/>
      <c r="NH181" s="14"/>
      <c r="NI181" s="14"/>
      <c r="NJ181" s="14"/>
      <c r="NK181" s="14"/>
      <c r="NL181" s="14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</row>
    <row r="182" ht="13.5" customHeight="1">
      <c r="A182" s="2"/>
      <c r="B182" s="22"/>
      <c r="C182" s="2"/>
      <c r="D182" s="13"/>
      <c r="E182" s="3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4"/>
      <c r="FJ182" s="14"/>
      <c r="FK182" s="14"/>
      <c r="FL182" s="14"/>
      <c r="FM182" s="14"/>
      <c r="FN182" s="14"/>
      <c r="FO182" s="14"/>
      <c r="FP182" s="14"/>
      <c r="FQ182" s="14"/>
      <c r="FR182" s="14"/>
      <c r="FS182" s="14"/>
      <c r="FT182" s="14"/>
      <c r="FU182" s="14"/>
      <c r="FV182" s="14"/>
      <c r="FW182" s="14"/>
      <c r="FX182" s="14"/>
      <c r="FY182" s="14"/>
      <c r="FZ182" s="14"/>
      <c r="GA182" s="14"/>
      <c r="GB182" s="14"/>
      <c r="GC182" s="14"/>
      <c r="GD182" s="14"/>
      <c r="GE182" s="14"/>
      <c r="GF182" s="14"/>
      <c r="GG182" s="14"/>
      <c r="GH182" s="14"/>
      <c r="GI182" s="14"/>
      <c r="GJ182" s="14"/>
      <c r="GK182" s="14"/>
      <c r="GL182" s="14"/>
      <c r="GM182" s="14"/>
      <c r="GN182" s="14"/>
      <c r="GO182" s="14"/>
      <c r="GP182" s="14"/>
      <c r="GQ182" s="14"/>
      <c r="GR182" s="14"/>
      <c r="GS182" s="14"/>
      <c r="GT182" s="14"/>
      <c r="GU182" s="14"/>
      <c r="GV182" s="14"/>
      <c r="GW182" s="14"/>
      <c r="GX182" s="14"/>
      <c r="GY182" s="14"/>
      <c r="GZ182" s="14"/>
      <c r="HA182" s="14"/>
      <c r="HB182" s="14"/>
      <c r="HC182" s="14"/>
      <c r="HD182" s="14"/>
      <c r="HE182" s="14"/>
      <c r="HF182" s="14"/>
      <c r="HG182" s="14"/>
      <c r="HH182" s="14"/>
      <c r="HI182" s="14"/>
      <c r="HJ182" s="14"/>
      <c r="HK182" s="14"/>
      <c r="HL182" s="14"/>
      <c r="HM182" s="14"/>
      <c r="HN182" s="14"/>
      <c r="HO182" s="14"/>
      <c r="HP182" s="14"/>
      <c r="HQ182" s="14"/>
      <c r="HR182" s="14"/>
      <c r="HS182" s="14"/>
      <c r="HT182" s="14"/>
      <c r="HU182" s="14"/>
      <c r="HV182" s="14"/>
      <c r="HW182" s="14"/>
      <c r="HX182" s="14"/>
      <c r="HY182" s="14"/>
      <c r="HZ182" s="14"/>
      <c r="IA182" s="14"/>
      <c r="IB182" s="14"/>
      <c r="IC182" s="14"/>
      <c r="ID182" s="14"/>
      <c r="IE182" s="14"/>
      <c r="IF182" s="14"/>
      <c r="IG182" s="14"/>
      <c r="IH182" s="14"/>
      <c r="II182" s="14"/>
      <c r="IJ182" s="14"/>
      <c r="IK182" s="14"/>
      <c r="IL182" s="14"/>
      <c r="IM182" s="14"/>
      <c r="IN182" s="14"/>
      <c r="IO182" s="14"/>
      <c r="IP182" s="14"/>
      <c r="IQ182" s="14"/>
      <c r="IR182" s="14"/>
      <c r="IS182" s="14"/>
      <c r="IT182" s="14"/>
      <c r="IU182" s="14"/>
      <c r="IV182" s="14"/>
      <c r="IW182" s="14"/>
      <c r="IX182" s="14"/>
      <c r="IY182" s="14"/>
      <c r="IZ182" s="14"/>
      <c r="JA182" s="14"/>
      <c r="JB182" s="14"/>
      <c r="JC182" s="14"/>
      <c r="JD182" s="14"/>
      <c r="JE182" s="14"/>
      <c r="JF182" s="14"/>
      <c r="JG182" s="14"/>
      <c r="JH182" s="14"/>
      <c r="JI182" s="14"/>
      <c r="JJ182" s="14"/>
      <c r="JK182" s="14"/>
      <c r="JL182" s="14"/>
      <c r="JM182" s="14"/>
      <c r="JN182" s="14"/>
      <c r="JO182" s="14"/>
      <c r="JP182" s="14"/>
      <c r="JQ182" s="14"/>
      <c r="JR182" s="14"/>
      <c r="JS182" s="14"/>
      <c r="JT182" s="14"/>
      <c r="JU182" s="14"/>
      <c r="JV182" s="14"/>
      <c r="JW182" s="14"/>
      <c r="JX182" s="14"/>
      <c r="JY182" s="14"/>
      <c r="JZ182" s="14"/>
      <c r="KA182" s="14"/>
      <c r="KB182" s="14"/>
      <c r="KC182" s="14"/>
      <c r="KD182" s="14"/>
      <c r="KE182" s="14"/>
      <c r="KF182" s="14"/>
      <c r="KG182" s="14"/>
      <c r="KH182" s="14"/>
      <c r="KI182" s="14"/>
      <c r="KJ182" s="14"/>
      <c r="KK182" s="14"/>
      <c r="KL182" s="14"/>
      <c r="KM182" s="14"/>
      <c r="KN182" s="14"/>
      <c r="KO182" s="14"/>
      <c r="KP182" s="14"/>
      <c r="KQ182" s="14"/>
      <c r="KR182" s="14"/>
      <c r="KS182" s="14"/>
      <c r="KT182" s="14"/>
      <c r="KU182" s="14"/>
      <c r="KV182" s="14"/>
      <c r="KW182" s="14"/>
      <c r="KX182" s="14"/>
      <c r="KY182" s="14"/>
      <c r="KZ182" s="14"/>
      <c r="LA182" s="14"/>
      <c r="LB182" s="14"/>
      <c r="LC182" s="14"/>
      <c r="LD182" s="14"/>
      <c r="LE182" s="14"/>
      <c r="LF182" s="14"/>
      <c r="LG182" s="14"/>
      <c r="LH182" s="14"/>
      <c r="LI182" s="14"/>
      <c r="LJ182" s="14"/>
      <c r="LK182" s="14"/>
      <c r="LL182" s="14"/>
      <c r="LM182" s="14"/>
      <c r="LN182" s="14"/>
      <c r="LO182" s="14"/>
      <c r="LP182" s="14"/>
      <c r="LQ182" s="14"/>
      <c r="LR182" s="14"/>
      <c r="LS182" s="14"/>
      <c r="LT182" s="14"/>
      <c r="LU182" s="14"/>
      <c r="LV182" s="14"/>
      <c r="LW182" s="14"/>
      <c r="LX182" s="14"/>
      <c r="LY182" s="14"/>
      <c r="LZ182" s="14"/>
      <c r="MA182" s="14"/>
      <c r="MB182" s="14"/>
      <c r="MC182" s="14"/>
      <c r="MD182" s="14"/>
      <c r="ME182" s="14"/>
      <c r="MF182" s="14"/>
      <c r="MG182" s="14"/>
      <c r="MH182" s="14"/>
      <c r="MI182" s="14"/>
      <c r="MJ182" s="14"/>
      <c r="MK182" s="14"/>
      <c r="ML182" s="14"/>
      <c r="MM182" s="14"/>
      <c r="MN182" s="14"/>
      <c r="MO182" s="14"/>
      <c r="MP182" s="14"/>
      <c r="MQ182" s="14"/>
      <c r="MR182" s="14"/>
      <c r="MS182" s="14"/>
      <c r="MT182" s="14"/>
      <c r="MU182" s="14"/>
      <c r="MV182" s="14"/>
      <c r="MW182" s="14"/>
      <c r="MX182" s="14"/>
      <c r="MY182" s="14"/>
      <c r="MZ182" s="14"/>
      <c r="NA182" s="14"/>
      <c r="NB182" s="14"/>
      <c r="NC182" s="14"/>
      <c r="ND182" s="14"/>
      <c r="NE182" s="14"/>
      <c r="NF182" s="14"/>
      <c r="NG182" s="14"/>
      <c r="NH182" s="14"/>
      <c r="NI182" s="14"/>
      <c r="NJ182" s="14"/>
      <c r="NK182" s="14"/>
      <c r="NL182" s="14"/>
      <c r="NM182" s="3"/>
      <c r="NN182" s="3"/>
      <c r="NO182" s="3"/>
      <c r="NP182" s="3"/>
      <c r="NQ182" s="3"/>
      <c r="NR182" s="3"/>
      <c r="NS182" s="3"/>
      <c r="NT182" s="3"/>
      <c r="NU182" s="3"/>
      <c r="NV182" s="3"/>
      <c r="NW182" s="3"/>
      <c r="NX182" s="3"/>
      <c r="NY182" s="3"/>
      <c r="NZ182" s="3"/>
      <c r="OA182" s="3"/>
      <c r="OB182" s="3"/>
      <c r="OC182" s="3"/>
      <c r="OD182" s="3"/>
      <c r="OE182" s="3"/>
      <c r="OF182" s="3"/>
    </row>
    <row r="183" ht="13.5" customHeight="1">
      <c r="A183" s="2"/>
      <c r="B183" s="22"/>
      <c r="C183" s="2"/>
      <c r="D183" s="13"/>
      <c r="E183" s="3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4"/>
      <c r="DF183" s="14"/>
      <c r="DG183" s="14"/>
      <c r="DH183" s="14"/>
      <c r="DI183" s="14"/>
      <c r="DJ183" s="14"/>
      <c r="DK183" s="14"/>
      <c r="DL183" s="14"/>
      <c r="DM183" s="14"/>
      <c r="DN183" s="14"/>
      <c r="DO183" s="14"/>
      <c r="DP183" s="14"/>
      <c r="DQ183" s="14"/>
      <c r="DR183" s="14"/>
      <c r="DS183" s="14"/>
      <c r="DT183" s="14"/>
      <c r="DU183" s="14"/>
      <c r="DV183" s="14"/>
      <c r="DW183" s="14"/>
      <c r="DX183" s="14"/>
      <c r="DY183" s="14"/>
      <c r="DZ183" s="14"/>
      <c r="EA183" s="14"/>
      <c r="EB183" s="14"/>
      <c r="EC183" s="14"/>
      <c r="ED183" s="14"/>
      <c r="EE183" s="14"/>
      <c r="EF183" s="14"/>
      <c r="EG183" s="14"/>
      <c r="EH183" s="14"/>
      <c r="EI183" s="14"/>
      <c r="EJ183" s="14"/>
      <c r="EK183" s="14"/>
      <c r="EL183" s="14"/>
      <c r="EM183" s="14"/>
      <c r="EN183" s="14"/>
      <c r="EO183" s="14"/>
      <c r="EP183" s="14"/>
      <c r="EQ183" s="14"/>
      <c r="ER183" s="14"/>
      <c r="ES183" s="14"/>
      <c r="ET183" s="14"/>
      <c r="EU183" s="14"/>
      <c r="EV183" s="14"/>
      <c r="EW183" s="14"/>
      <c r="EX183" s="14"/>
      <c r="EY183" s="14"/>
      <c r="EZ183" s="14"/>
      <c r="FA183" s="14"/>
      <c r="FB183" s="14"/>
      <c r="FC183" s="14"/>
      <c r="FD183" s="14"/>
      <c r="FE183" s="14"/>
      <c r="FF183" s="14"/>
      <c r="FG183" s="14"/>
      <c r="FH183" s="14"/>
      <c r="FI183" s="14"/>
      <c r="FJ183" s="14"/>
      <c r="FK183" s="14"/>
      <c r="FL183" s="14"/>
      <c r="FM183" s="14"/>
      <c r="FN183" s="14"/>
      <c r="FO183" s="14"/>
      <c r="FP183" s="14"/>
      <c r="FQ183" s="14"/>
      <c r="FR183" s="14"/>
      <c r="FS183" s="14"/>
      <c r="FT183" s="14"/>
      <c r="FU183" s="14"/>
      <c r="FV183" s="14"/>
      <c r="FW183" s="14"/>
      <c r="FX183" s="14"/>
      <c r="FY183" s="14"/>
      <c r="FZ183" s="14"/>
      <c r="GA183" s="14"/>
      <c r="GB183" s="14"/>
      <c r="GC183" s="14"/>
      <c r="GD183" s="14"/>
      <c r="GE183" s="14"/>
      <c r="GF183" s="14"/>
      <c r="GG183" s="14"/>
      <c r="GH183" s="14"/>
      <c r="GI183" s="14"/>
      <c r="GJ183" s="14"/>
      <c r="GK183" s="14"/>
      <c r="GL183" s="14"/>
      <c r="GM183" s="14"/>
      <c r="GN183" s="14"/>
      <c r="GO183" s="14"/>
      <c r="GP183" s="14"/>
      <c r="GQ183" s="14"/>
      <c r="GR183" s="14"/>
      <c r="GS183" s="14"/>
      <c r="GT183" s="14"/>
      <c r="GU183" s="14"/>
      <c r="GV183" s="14"/>
      <c r="GW183" s="14"/>
      <c r="GX183" s="14"/>
      <c r="GY183" s="14"/>
      <c r="GZ183" s="14"/>
      <c r="HA183" s="14"/>
      <c r="HB183" s="14"/>
      <c r="HC183" s="14"/>
      <c r="HD183" s="14"/>
      <c r="HE183" s="14"/>
      <c r="HF183" s="14"/>
      <c r="HG183" s="14"/>
      <c r="HH183" s="14"/>
      <c r="HI183" s="14"/>
      <c r="HJ183" s="14"/>
      <c r="HK183" s="14"/>
      <c r="HL183" s="14"/>
      <c r="HM183" s="14"/>
      <c r="HN183" s="14"/>
      <c r="HO183" s="14"/>
      <c r="HP183" s="14"/>
      <c r="HQ183" s="14"/>
      <c r="HR183" s="14"/>
      <c r="HS183" s="14"/>
      <c r="HT183" s="14"/>
      <c r="HU183" s="14"/>
      <c r="HV183" s="14"/>
      <c r="HW183" s="14"/>
      <c r="HX183" s="14"/>
      <c r="HY183" s="14"/>
      <c r="HZ183" s="14"/>
      <c r="IA183" s="14"/>
      <c r="IB183" s="14"/>
      <c r="IC183" s="14"/>
      <c r="ID183" s="14"/>
      <c r="IE183" s="14"/>
      <c r="IF183" s="14"/>
      <c r="IG183" s="14"/>
      <c r="IH183" s="14"/>
      <c r="II183" s="14"/>
      <c r="IJ183" s="14"/>
      <c r="IK183" s="14"/>
      <c r="IL183" s="14"/>
      <c r="IM183" s="14"/>
      <c r="IN183" s="14"/>
      <c r="IO183" s="14"/>
      <c r="IP183" s="14"/>
      <c r="IQ183" s="14"/>
      <c r="IR183" s="14"/>
      <c r="IS183" s="14"/>
      <c r="IT183" s="14"/>
      <c r="IU183" s="14"/>
      <c r="IV183" s="14"/>
      <c r="IW183" s="14"/>
      <c r="IX183" s="14"/>
      <c r="IY183" s="14"/>
      <c r="IZ183" s="14"/>
      <c r="JA183" s="14"/>
      <c r="JB183" s="14"/>
      <c r="JC183" s="14"/>
      <c r="JD183" s="14"/>
      <c r="JE183" s="14"/>
      <c r="JF183" s="14"/>
      <c r="JG183" s="14"/>
      <c r="JH183" s="14"/>
      <c r="JI183" s="14"/>
      <c r="JJ183" s="14"/>
      <c r="JK183" s="14"/>
      <c r="JL183" s="14"/>
      <c r="JM183" s="14"/>
      <c r="JN183" s="14"/>
      <c r="JO183" s="14"/>
      <c r="JP183" s="14"/>
      <c r="JQ183" s="14"/>
      <c r="JR183" s="14"/>
      <c r="JS183" s="14"/>
      <c r="JT183" s="14"/>
      <c r="JU183" s="14"/>
      <c r="JV183" s="14"/>
      <c r="JW183" s="14"/>
      <c r="JX183" s="14"/>
      <c r="JY183" s="14"/>
      <c r="JZ183" s="14"/>
      <c r="KA183" s="14"/>
      <c r="KB183" s="14"/>
      <c r="KC183" s="14"/>
      <c r="KD183" s="14"/>
      <c r="KE183" s="14"/>
      <c r="KF183" s="14"/>
      <c r="KG183" s="14"/>
      <c r="KH183" s="14"/>
      <c r="KI183" s="14"/>
      <c r="KJ183" s="14"/>
      <c r="KK183" s="14"/>
      <c r="KL183" s="14"/>
      <c r="KM183" s="14"/>
      <c r="KN183" s="14"/>
      <c r="KO183" s="14"/>
      <c r="KP183" s="14"/>
      <c r="KQ183" s="14"/>
      <c r="KR183" s="14"/>
      <c r="KS183" s="14"/>
      <c r="KT183" s="14"/>
      <c r="KU183" s="14"/>
      <c r="KV183" s="14"/>
      <c r="KW183" s="14"/>
      <c r="KX183" s="14"/>
      <c r="KY183" s="14"/>
      <c r="KZ183" s="14"/>
      <c r="LA183" s="14"/>
      <c r="LB183" s="14"/>
      <c r="LC183" s="14"/>
      <c r="LD183" s="14"/>
      <c r="LE183" s="14"/>
      <c r="LF183" s="14"/>
      <c r="LG183" s="14"/>
      <c r="LH183" s="14"/>
      <c r="LI183" s="14"/>
      <c r="LJ183" s="14"/>
      <c r="LK183" s="14"/>
      <c r="LL183" s="14"/>
      <c r="LM183" s="14"/>
      <c r="LN183" s="14"/>
      <c r="LO183" s="14"/>
      <c r="LP183" s="14"/>
      <c r="LQ183" s="14"/>
      <c r="LR183" s="14"/>
      <c r="LS183" s="14"/>
      <c r="LT183" s="14"/>
      <c r="LU183" s="14"/>
      <c r="LV183" s="14"/>
      <c r="LW183" s="14"/>
      <c r="LX183" s="14"/>
      <c r="LY183" s="14"/>
      <c r="LZ183" s="14"/>
      <c r="MA183" s="14"/>
      <c r="MB183" s="14"/>
      <c r="MC183" s="14"/>
      <c r="MD183" s="14"/>
      <c r="ME183" s="14"/>
      <c r="MF183" s="14"/>
      <c r="MG183" s="14"/>
      <c r="MH183" s="14"/>
      <c r="MI183" s="14"/>
      <c r="MJ183" s="14"/>
      <c r="MK183" s="14"/>
      <c r="ML183" s="14"/>
      <c r="MM183" s="14"/>
      <c r="MN183" s="14"/>
      <c r="MO183" s="14"/>
      <c r="MP183" s="14"/>
      <c r="MQ183" s="14"/>
      <c r="MR183" s="14"/>
      <c r="MS183" s="14"/>
      <c r="MT183" s="14"/>
      <c r="MU183" s="14"/>
      <c r="MV183" s="14"/>
      <c r="MW183" s="14"/>
      <c r="MX183" s="14"/>
      <c r="MY183" s="14"/>
      <c r="MZ183" s="14"/>
      <c r="NA183" s="14"/>
      <c r="NB183" s="14"/>
      <c r="NC183" s="14"/>
      <c r="ND183" s="14"/>
      <c r="NE183" s="14"/>
      <c r="NF183" s="14"/>
      <c r="NG183" s="14"/>
      <c r="NH183" s="14"/>
      <c r="NI183" s="14"/>
      <c r="NJ183" s="14"/>
      <c r="NK183" s="14"/>
      <c r="NL183" s="14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</row>
    <row r="184" ht="13.5" customHeight="1">
      <c r="A184" s="2"/>
      <c r="B184" s="22"/>
      <c r="C184" s="2"/>
      <c r="D184" s="13"/>
      <c r="E184" s="3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4"/>
      <c r="DF184" s="14"/>
      <c r="DG184" s="14"/>
      <c r="DH184" s="14"/>
      <c r="DI184" s="14"/>
      <c r="DJ184" s="14"/>
      <c r="DK184" s="14"/>
      <c r="DL184" s="14"/>
      <c r="DM184" s="14"/>
      <c r="DN184" s="14"/>
      <c r="DO184" s="14"/>
      <c r="DP184" s="14"/>
      <c r="DQ184" s="14"/>
      <c r="DR184" s="14"/>
      <c r="DS184" s="14"/>
      <c r="DT184" s="14"/>
      <c r="DU184" s="14"/>
      <c r="DV184" s="14"/>
      <c r="DW184" s="14"/>
      <c r="DX184" s="14"/>
      <c r="DY184" s="14"/>
      <c r="DZ184" s="14"/>
      <c r="EA184" s="14"/>
      <c r="EB184" s="14"/>
      <c r="EC184" s="14"/>
      <c r="ED184" s="14"/>
      <c r="EE184" s="14"/>
      <c r="EF184" s="14"/>
      <c r="EG184" s="14"/>
      <c r="EH184" s="14"/>
      <c r="EI184" s="14"/>
      <c r="EJ184" s="14"/>
      <c r="EK184" s="14"/>
      <c r="EL184" s="14"/>
      <c r="EM184" s="14"/>
      <c r="EN184" s="14"/>
      <c r="EO184" s="14"/>
      <c r="EP184" s="14"/>
      <c r="EQ184" s="14"/>
      <c r="ER184" s="14"/>
      <c r="ES184" s="14"/>
      <c r="ET184" s="14"/>
      <c r="EU184" s="14"/>
      <c r="EV184" s="14"/>
      <c r="EW184" s="14"/>
      <c r="EX184" s="14"/>
      <c r="EY184" s="14"/>
      <c r="EZ184" s="14"/>
      <c r="FA184" s="14"/>
      <c r="FB184" s="14"/>
      <c r="FC184" s="14"/>
      <c r="FD184" s="14"/>
      <c r="FE184" s="14"/>
      <c r="FF184" s="14"/>
      <c r="FG184" s="14"/>
      <c r="FH184" s="14"/>
      <c r="FI184" s="14"/>
      <c r="FJ184" s="14"/>
      <c r="FK184" s="14"/>
      <c r="FL184" s="14"/>
      <c r="FM184" s="14"/>
      <c r="FN184" s="14"/>
      <c r="FO184" s="14"/>
      <c r="FP184" s="14"/>
      <c r="FQ184" s="14"/>
      <c r="FR184" s="14"/>
      <c r="FS184" s="14"/>
      <c r="FT184" s="14"/>
      <c r="FU184" s="14"/>
      <c r="FV184" s="14"/>
      <c r="FW184" s="14"/>
      <c r="FX184" s="14"/>
      <c r="FY184" s="14"/>
      <c r="FZ184" s="14"/>
      <c r="GA184" s="14"/>
      <c r="GB184" s="14"/>
      <c r="GC184" s="14"/>
      <c r="GD184" s="14"/>
      <c r="GE184" s="14"/>
      <c r="GF184" s="14"/>
      <c r="GG184" s="14"/>
      <c r="GH184" s="14"/>
      <c r="GI184" s="14"/>
      <c r="GJ184" s="14"/>
      <c r="GK184" s="14"/>
      <c r="GL184" s="14"/>
      <c r="GM184" s="14"/>
      <c r="GN184" s="14"/>
      <c r="GO184" s="14"/>
      <c r="GP184" s="14"/>
      <c r="GQ184" s="14"/>
      <c r="GR184" s="14"/>
      <c r="GS184" s="14"/>
      <c r="GT184" s="14"/>
      <c r="GU184" s="14"/>
      <c r="GV184" s="14"/>
      <c r="GW184" s="14"/>
      <c r="GX184" s="14"/>
      <c r="GY184" s="14"/>
      <c r="GZ184" s="14"/>
      <c r="HA184" s="14"/>
      <c r="HB184" s="14"/>
      <c r="HC184" s="14"/>
      <c r="HD184" s="14"/>
      <c r="HE184" s="14"/>
      <c r="HF184" s="14"/>
      <c r="HG184" s="14"/>
      <c r="HH184" s="14"/>
      <c r="HI184" s="14"/>
      <c r="HJ184" s="14"/>
      <c r="HK184" s="14"/>
      <c r="HL184" s="14"/>
      <c r="HM184" s="14"/>
      <c r="HN184" s="14"/>
      <c r="HO184" s="14"/>
      <c r="HP184" s="14"/>
      <c r="HQ184" s="14"/>
      <c r="HR184" s="14"/>
      <c r="HS184" s="14"/>
      <c r="HT184" s="14"/>
      <c r="HU184" s="14"/>
      <c r="HV184" s="14"/>
      <c r="HW184" s="14"/>
      <c r="HX184" s="14"/>
      <c r="HY184" s="14"/>
      <c r="HZ184" s="14"/>
      <c r="IA184" s="14"/>
      <c r="IB184" s="14"/>
      <c r="IC184" s="14"/>
      <c r="ID184" s="14"/>
      <c r="IE184" s="14"/>
      <c r="IF184" s="14"/>
      <c r="IG184" s="14"/>
      <c r="IH184" s="14"/>
      <c r="II184" s="14"/>
      <c r="IJ184" s="14"/>
      <c r="IK184" s="14"/>
      <c r="IL184" s="14"/>
      <c r="IM184" s="14"/>
      <c r="IN184" s="14"/>
      <c r="IO184" s="14"/>
      <c r="IP184" s="14"/>
      <c r="IQ184" s="14"/>
      <c r="IR184" s="14"/>
      <c r="IS184" s="14"/>
      <c r="IT184" s="14"/>
      <c r="IU184" s="14"/>
      <c r="IV184" s="14"/>
      <c r="IW184" s="14"/>
      <c r="IX184" s="14"/>
      <c r="IY184" s="14"/>
      <c r="IZ184" s="14"/>
      <c r="JA184" s="14"/>
      <c r="JB184" s="14"/>
      <c r="JC184" s="14"/>
      <c r="JD184" s="14"/>
      <c r="JE184" s="14"/>
      <c r="JF184" s="14"/>
      <c r="JG184" s="14"/>
      <c r="JH184" s="14"/>
      <c r="JI184" s="14"/>
      <c r="JJ184" s="14"/>
      <c r="JK184" s="14"/>
      <c r="JL184" s="14"/>
      <c r="JM184" s="14"/>
      <c r="JN184" s="14"/>
      <c r="JO184" s="14"/>
      <c r="JP184" s="14"/>
      <c r="JQ184" s="14"/>
      <c r="JR184" s="14"/>
      <c r="JS184" s="14"/>
      <c r="JT184" s="14"/>
      <c r="JU184" s="14"/>
      <c r="JV184" s="14"/>
      <c r="JW184" s="14"/>
      <c r="JX184" s="14"/>
      <c r="JY184" s="14"/>
      <c r="JZ184" s="14"/>
      <c r="KA184" s="14"/>
      <c r="KB184" s="14"/>
      <c r="KC184" s="14"/>
      <c r="KD184" s="14"/>
      <c r="KE184" s="14"/>
      <c r="KF184" s="14"/>
      <c r="KG184" s="14"/>
      <c r="KH184" s="14"/>
      <c r="KI184" s="14"/>
      <c r="KJ184" s="14"/>
      <c r="KK184" s="14"/>
      <c r="KL184" s="14"/>
      <c r="KM184" s="14"/>
      <c r="KN184" s="14"/>
      <c r="KO184" s="14"/>
      <c r="KP184" s="14"/>
      <c r="KQ184" s="14"/>
      <c r="KR184" s="14"/>
      <c r="KS184" s="14"/>
      <c r="KT184" s="14"/>
      <c r="KU184" s="14"/>
      <c r="KV184" s="14"/>
      <c r="KW184" s="14"/>
      <c r="KX184" s="14"/>
      <c r="KY184" s="14"/>
      <c r="KZ184" s="14"/>
      <c r="LA184" s="14"/>
      <c r="LB184" s="14"/>
      <c r="LC184" s="14"/>
      <c r="LD184" s="14"/>
      <c r="LE184" s="14"/>
      <c r="LF184" s="14"/>
      <c r="LG184" s="14"/>
      <c r="LH184" s="14"/>
      <c r="LI184" s="14"/>
      <c r="LJ184" s="14"/>
      <c r="LK184" s="14"/>
      <c r="LL184" s="14"/>
      <c r="LM184" s="14"/>
      <c r="LN184" s="14"/>
      <c r="LO184" s="14"/>
      <c r="LP184" s="14"/>
      <c r="LQ184" s="14"/>
      <c r="LR184" s="14"/>
      <c r="LS184" s="14"/>
      <c r="LT184" s="14"/>
      <c r="LU184" s="14"/>
      <c r="LV184" s="14"/>
      <c r="LW184" s="14"/>
      <c r="LX184" s="14"/>
      <c r="LY184" s="14"/>
      <c r="LZ184" s="14"/>
      <c r="MA184" s="14"/>
      <c r="MB184" s="14"/>
      <c r="MC184" s="14"/>
      <c r="MD184" s="14"/>
      <c r="ME184" s="14"/>
      <c r="MF184" s="14"/>
      <c r="MG184" s="14"/>
      <c r="MH184" s="14"/>
      <c r="MI184" s="14"/>
      <c r="MJ184" s="14"/>
      <c r="MK184" s="14"/>
      <c r="ML184" s="14"/>
      <c r="MM184" s="14"/>
      <c r="MN184" s="14"/>
      <c r="MO184" s="14"/>
      <c r="MP184" s="14"/>
      <c r="MQ184" s="14"/>
      <c r="MR184" s="14"/>
      <c r="MS184" s="14"/>
      <c r="MT184" s="14"/>
      <c r="MU184" s="14"/>
      <c r="MV184" s="14"/>
      <c r="MW184" s="14"/>
      <c r="MX184" s="14"/>
      <c r="MY184" s="14"/>
      <c r="MZ184" s="14"/>
      <c r="NA184" s="14"/>
      <c r="NB184" s="14"/>
      <c r="NC184" s="14"/>
      <c r="ND184" s="14"/>
      <c r="NE184" s="14"/>
      <c r="NF184" s="14"/>
      <c r="NG184" s="14"/>
      <c r="NH184" s="14"/>
      <c r="NI184" s="14"/>
      <c r="NJ184" s="14"/>
      <c r="NK184" s="14"/>
      <c r="NL184" s="14"/>
      <c r="NM184" s="3"/>
      <c r="NN184" s="3"/>
      <c r="NO184" s="3"/>
      <c r="NP184" s="3"/>
      <c r="NQ184" s="3"/>
      <c r="NR184" s="3"/>
      <c r="NS184" s="3"/>
      <c r="NT184" s="3"/>
      <c r="NU184" s="3"/>
      <c r="NV184" s="3"/>
      <c r="NW184" s="3"/>
      <c r="NX184" s="3"/>
      <c r="NY184" s="3"/>
      <c r="NZ184" s="3"/>
      <c r="OA184" s="3"/>
      <c r="OB184" s="3"/>
      <c r="OC184" s="3"/>
      <c r="OD184" s="3"/>
      <c r="OE184" s="3"/>
      <c r="OF184" s="3"/>
    </row>
    <row r="185" ht="13.5" customHeight="1">
      <c r="A185" s="2"/>
      <c r="B185" s="22"/>
      <c r="C185" s="2"/>
      <c r="D185" s="13"/>
      <c r="E185" s="3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4"/>
      <c r="DF185" s="14"/>
      <c r="DG185" s="14"/>
      <c r="DH185" s="14"/>
      <c r="DI185" s="14"/>
      <c r="DJ185" s="14"/>
      <c r="DK185" s="14"/>
      <c r="DL185" s="14"/>
      <c r="DM185" s="14"/>
      <c r="DN185" s="14"/>
      <c r="DO185" s="14"/>
      <c r="DP185" s="14"/>
      <c r="DQ185" s="14"/>
      <c r="DR185" s="14"/>
      <c r="DS185" s="14"/>
      <c r="DT185" s="14"/>
      <c r="DU185" s="14"/>
      <c r="DV185" s="14"/>
      <c r="DW185" s="14"/>
      <c r="DX185" s="14"/>
      <c r="DY185" s="14"/>
      <c r="DZ185" s="14"/>
      <c r="EA185" s="14"/>
      <c r="EB185" s="14"/>
      <c r="EC185" s="14"/>
      <c r="ED185" s="14"/>
      <c r="EE185" s="14"/>
      <c r="EF185" s="14"/>
      <c r="EG185" s="14"/>
      <c r="EH185" s="14"/>
      <c r="EI185" s="14"/>
      <c r="EJ185" s="14"/>
      <c r="EK185" s="14"/>
      <c r="EL185" s="14"/>
      <c r="EM185" s="14"/>
      <c r="EN185" s="14"/>
      <c r="EO185" s="14"/>
      <c r="EP185" s="14"/>
      <c r="EQ185" s="14"/>
      <c r="ER185" s="14"/>
      <c r="ES185" s="14"/>
      <c r="ET185" s="14"/>
      <c r="EU185" s="14"/>
      <c r="EV185" s="14"/>
      <c r="EW185" s="14"/>
      <c r="EX185" s="14"/>
      <c r="EY185" s="14"/>
      <c r="EZ185" s="14"/>
      <c r="FA185" s="14"/>
      <c r="FB185" s="14"/>
      <c r="FC185" s="14"/>
      <c r="FD185" s="14"/>
      <c r="FE185" s="14"/>
      <c r="FF185" s="14"/>
      <c r="FG185" s="14"/>
      <c r="FH185" s="14"/>
      <c r="FI185" s="14"/>
      <c r="FJ185" s="14"/>
      <c r="FK185" s="14"/>
      <c r="FL185" s="14"/>
      <c r="FM185" s="14"/>
      <c r="FN185" s="14"/>
      <c r="FO185" s="14"/>
      <c r="FP185" s="14"/>
      <c r="FQ185" s="14"/>
      <c r="FR185" s="14"/>
      <c r="FS185" s="14"/>
      <c r="FT185" s="14"/>
      <c r="FU185" s="14"/>
      <c r="FV185" s="14"/>
      <c r="FW185" s="14"/>
      <c r="FX185" s="14"/>
      <c r="FY185" s="14"/>
      <c r="FZ185" s="14"/>
      <c r="GA185" s="14"/>
      <c r="GB185" s="14"/>
      <c r="GC185" s="14"/>
      <c r="GD185" s="14"/>
      <c r="GE185" s="14"/>
      <c r="GF185" s="14"/>
      <c r="GG185" s="14"/>
      <c r="GH185" s="14"/>
      <c r="GI185" s="14"/>
      <c r="GJ185" s="14"/>
      <c r="GK185" s="14"/>
      <c r="GL185" s="14"/>
      <c r="GM185" s="14"/>
      <c r="GN185" s="14"/>
      <c r="GO185" s="14"/>
      <c r="GP185" s="14"/>
      <c r="GQ185" s="14"/>
      <c r="GR185" s="14"/>
      <c r="GS185" s="14"/>
      <c r="GT185" s="14"/>
      <c r="GU185" s="14"/>
      <c r="GV185" s="14"/>
      <c r="GW185" s="14"/>
      <c r="GX185" s="14"/>
      <c r="GY185" s="14"/>
      <c r="GZ185" s="14"/>
      <c r="HA185" s="14"/>
      <c r="HB185" s="14"/>
      <c r="HC185" s="14"/>
      <c r="HD185" s="14"/>
      <c r="HE185" s="14"/>
      <c r="HF185" s="14"/>
      <c r="HG185" s="14"/>
      <c r="HH185" s="14"/>
      <c r="HI185" s="14"/>
      <c r="HJ185" s="14"/>
      <c r="HK185" s="14"/>
      <c r="HL185" s="14"/>
      <c r="HM185" s="14"/>
      <c r="HN185" s="14"/>
      <c r="HO185" s="14"/>
      <c r="HP185" s="14"/>
      <c r="HQ185" s="14"/>
      <c r="HR185" s="14"/>
      <c r="HS185" s="14"/>
      <c r="HT185" s="14"/>
      <c r="HU185" s="14"/>
      <c r="HV185" s="14"/>
      <c r="HW185" s="14"/>
      <c r="HX185" s="14"/>
      <c r="HY185" s="14"/>
      <c r="HZ185" s="14"/>
      <c r="IA185" s="14"/>
      <c r="IB185" s="14"/>
      <c r="IC185" s="14"/>
      <c r="ID185" s="14"/>
      <c r="IE185" s="14"/>
      <c r="IF185" s="14"/>
      <c r="IG185" s="14"/>
      <c r="IH185" s="14"/>
      <c r="II185" s="14"/>
      <c r="IJ185" s="14"/>
      <c r="IK185" s="14"/>
      <c r="IL185" s="14"/>
      <c r="IM185" s="14"/>
      <c r="IN185" s="14"/>
      <c r="IO185" s="14"/>
      <c r="IP185" s="14"/>
      <c r="IQ185" s="14"/>
      <c r="IR185" s="14"/>
      <c r="IS185" s="14"/>
      <c r="IT185" s="14"/>
      <c r="IU185" s="14"/>
      <c r="IV185" s="14"/>
      <c r="IW185" s="14"/>
      <c r="IX185" s="14"/>
      <c r="IY185" s="14"/>
      <c r="IZ185" s="14"/>
      <c r="JA185" s="14"/>
      <c r="JB185" s="14"/>
      <c r="JC185" s="14"/>
      <c r="JD185" s="14"/>
      <c r="JE185" s="14"/>
      <c r="JF185" s="14"/>
      <c r="JG185" s="14"/>
      <c r="JH185" s="14"/>
      <c r="JI185" s="14"/>
      <c r="JJ185" s="14"/>
      <c r="JK185" s="14"/>
      <c r="JL185" s="14"/>
      <c r="JM185" s="14"/>
      <c r="JN185" s="14"/>
      <c r="JO185" s="14"/>
      <c r="JP185" s="14"/>
      <c r="JQ185" s="14"/>
      <c r="JR185" s="14"/>
      <c r="JS185" s="14"/>
      <c r="JT185" s="14"/>
      <c r="JU185" s="14"/>
      <c r="JV185" s="14"/>
      <c r="JW185" s="14"/>
      <c r="JX185" s="14"/>
      <c r="JY185" s="14"/>
      <c r="JZ185" s="14"/>
      <c r="KA185" s="14"/>
      <c r="KB185" s="14"/>
      <c r="KC185" s="14"/>
      <c r="KD185" s="14"/>
      <c r="KE185" s="14"/>
      <c r="KF185" s="14"/>
      <c r="KG185" s="14"/>
      <c r="KH185" s="14"/>
      <c r="KI185" s="14"/>
      <c r="KJ185" s="14"/>
      <c r="KK185" s="14"/>
      <c r="KL185" s="14"/>
      <c r="KM185" s="14"/>
      <c r="KN185" s="14"/>
      <c r="KO185" s="14"/>
      <c r="KP185" s="14"/>
      <c r="KQ185" s="14"/>
      <c r="KR185" s="14"/>
      <c r="KS185" s="14"/>
      <c r="KT185" s="14"/>
      <c r="KU185" s="14"/>
      <c r="KV185" s="14"/>
      <c r="KW185" s="14"/>
      <c r="KX185" s="14"/>
      <c r="KY185" s="14"/>
      <c r="KZ185" s="14"/>
      <c r="LA185" s="14"/>
      <c r="LB185" s="14"/>
      <c r="LC185" s="14"/>
      <c r="LD185" s="14"/>
      <c r="LE185" s="14"/>
      <c r="LF185" s="14"/>
      <c r="LG185" s="14"/>
      <c r="LH185" s="14"/>
      <c r="LI185" s="14"/>
      <c r="LJ185" s="14"/>
      <c r="LK185" s="14"/>
      <c r="LL185" s="14"/>
      <c r="LM185" s="14"/>
      <c r="LN185" s="14"/>
      <c r="LO185" s="14"/>
      <c r="LP185" s="14"/>
      <c r="LQ185" s="14"/>
      <c r="LR185" s="14"/>
      <c r="LS185" s="14"/>
      <c r="LT185" s="14"/>
      <c r="LU185" s="14"/>
      <c r="LV185" s="14"/>
      <c r="LW185" s="14"/>
      <c r="LX185" s="14"/>
      <c r="LY185" s="14"/>
      <c r="LZ185" s="14"/>
      <c r="MA185" s="14"/>
      <c r="MB185" s="14"/>
      <c r="MC185" s="14"/>
      <c r="MD185" s="14"/>
      <c r="ME185" s="14"/>
      <c r="MF185" s="14"/>
      <c r="MG185" s="14"/>
      <c r="MH185" s="14"/>
      <c r="MI185" s="14"/>
      <c r="MJ185" s="14"/>
      <c r="MK185" s="14"/>
      <c r="ML185" s="14"/>
      <c r="MM185" s="14"/>
      <c r="MN185" s="14"/>
      <c r="MO185" s="14"/>
      <c r="MP185" s="14"/>
      <c r="MQ185" s="14"/>
      <c r="MR185" s="14"/>
      <c r="MS185" s="14"/>
      <c r="MT185" s="14"/>
      <c r="MU185" s="14"/>
      <c r="MV185" s="14"/>
      <c r="MW185" s="14"/>
      <c r="MX185" s="14"/>
      <c r="MY185" s="14"/>
      <c r="MZ185" s="14"/>
      <c r="NA185" s="14"/>
      <c r="NB185" s="14"/>
      <c r="NC185" s="14"/>
      <c r="ND185" s="14"/>
      <c r="NE185" s="14"/>
      <c r="NF185" s="14"/>
      <c r="NG185" s="14"/>
      <c r="NH185" s="14"/>
      <c r="NI185" s="14"/>
      <c r="NJ185" s="14"/>
      <c r="NK185" s="14"/>
      <c r="NL185" s="14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</row>
    <row r="186" ht="13.5" customHeight="1">
      <c r="A186" s="2"/>
      <c r="B186" s="22"/>
      <c r="C186" s="2"/>
      <c r="D186" s="13"/>
      <c r="E186" s="3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4"/>
      <c r="DF186" s="14"/>
      <c r="DG186" s="14"/>
      <c r="DH186" s="14"/>
      <c r="DI186" s="14"/>
      <c r="DJ186" s="14"/>
      <c r="DK186" s="14"/>
      <c r="DL186" s="14"/>
      <c r="DM186" s="14"/>
      <c r="DN186" s="14"/>
      <c r="DO186" s="14"/>
      <c r="DP186" s="14"/>
      <c r="DQ186" s="14"/>
      <c r="DR186" s="14"/>
      <c r="DS186" s="14"/>
      <c r="DT186" s="14"/>
      <c r="DU186" s="14"/>
      <c r="DV186" s="14"/>
      <c r="DW186" s="14"/>
      <c r="DX186" s="14"/>
      <c r="DY186" s="14"/>
      <c r="DZ186" s="14"/>
      <c r="EA186" s="14"/>
      <c r="EB186" s="14"/>
      <c r="EC186" s="14"/>
      <c r="ED186" s="14"/>
      <c r="EE186" s="14"/>
      <c r="EF186" s="14"/>
      <c r="EG186" s="14"/>
      <c r="EH186" s="14"/>
      <c r="EI186" s="14"/>
      <c r="EJ186" s="14"/>
      <c r="EK186" s="14"/>
      <c r="EL186" s="14"/>
      <c r="EM186" s="14"/>
      <c r="EN186" s="14"/>
      <c r="EO186" s="14"/>
      <c r="EP186" s="14"/>
      <c r="EQ186" s="14"/>
      <c r="ER186" s="14"/>
      <c r="ES186" s="14"/>
      <c r="ET186" s="14"/>
      <c r="EU186" s="14"/>
      <c r="EV186" s="14"/>
      <c r="EW186" s="14"/>
      <c r="EX186" s="14"/>
      <c r="EY186" s="14"/>
      <c r="EZ186" s="14"/>
      <c r="FA186" s="14"/>
      <c r="FB186" s="14"/>
      <c r="FC186" s="14"/>
      <c r="FD186" s="14"/>
      <c r="FE186" s="14"/>
      <c r="FF186" s="14"/>
      <c r="FG186" s="14"/>
      <c r="FH186" s="14"/>
      <c r="FI186" s="14"/>
      <c r="FJ186" s="14"/>
      <c r="FK186" s="14"/>
      <c r="FL186" s="14"/>
      <c r="FM186" s="14"/>
      <c r="FN186" s="14"/>
      <c r="FO186" s="14"/>
      <c r="FP186" s="14"/>
      <c r="FQ186" s="14"/>
      <c r="FR186" s="14"/>
      <c r="FS186" s="14"/>
      <c r="FT186" s="14"/>
      <c r="FU186" s="14"/>
      <c r="FV186" s="14"/>
      <c r="FW186" s="14"/>
      <c r="FX186" s="14"/>
      <c r="FY186" s="14"/>
      <c r="FZ186" s="14"/>
      <c r="GA186" s="14"/>
      <c r="GB186" s="14"/>
      <c r="GC186" s="14"/>
      <c r="GD186" s="14"/>
      <c r="GE186" s="14"/>
      <c r="GF186" s="14"/>
      <c r="GG186" s="14"/>
      <c r="GH186" s="14"/>
      <c r="GI186" s="14"/>
      <c r="GJ186" s="14"/>
      <c r="GK186" s="14"/>
      <c r="GL186" s="14"/>
      <c r="GM186" s="14"/>
      <c r="GN186" s="14"/>
      <c r="GO186" s="14"/>
      <c r="GP186" s="14"/>
      <c r="GQ186" s="14"/>
      <c r="GR186" s="14"/>
      <c r="GS186" s="14"/>
      <c r="GT186" s="14"/>
      <c r="GU186" s="14"/>
      <c r="GV186" s="14"/>
      <c r="GW186" s="14"/>
      <c r="GX186" s="14"/>
      <c r="GY186" s="14"/>
      <c r="GZ186" s="14"/>
      <c r="HA186" s="14"/>
      <c r="HB186" s="14"/>
      <c r="HC186" s="14"/>
      <c r="HD186" s="14"/>
      <c r="HE186" s="14"/>
      <c r="HF186" s="14"/>
      <c r="HG186" s="14"/>
      <c r="HH186" s="14"/>
      <c r="HI186" s="14"/>
      <c r="HJ186" s="14"/>
      <c r="HK186" s="14"/>
      <c r="HL186" s="14"/>
      <c r="HM186" s="14"/>
      <c r="HN186" s="14"/>
      <c r="HO186" s="14"/>
      <c r="HP186" s="14"/>
      <c r="HQ186" s="14"/>
      <c r="HR186" s="14"/>
      <c r="HS186" s="14"/>
      <c r="HT186" s="14"/>
      <c r="HU186" s="14"/>
      <c r="HV186" s="14"/>
      <c r="HW186" s="14"/>
      <c r="HX186" s="14"/>
      <c r="HY186" s="14"/>
      <c r="HZ186" s="14"/>
      <c r="IA186" s="14"/>
      <c r="IB186" s="14"/>
      <c r="IC186" s="14"/>
      <c r="ID186" s="14"/>
      <c r="IE186" s="14"/>
      <c r="IF186" s="14"/>
      <c r="IG186" s="14"/>
      <c r="IH186" s="14"/>
      <c r="II186" s="14"/>
      <c r="IJ186" s="14"/>
      <c r="IK186" s="14"/>
      <c r="IL186" s="14"/>
      <c r="IM186" s="14"/>
      <c r="IN186" s="14"/>
      <c r="IO186" s="14"/>
      <c r="IP186" s="14"/>
      <c r="IQ186" s="14"/>
      <c r="IR186" s="14"/>
      <c r="IS186" s="14"/>
      <c r="IT186" s="14"/>
      <c r="IU186" s="14"/>
      <c r="IV186" s="14"/>
      <c r="IW186" s="14"/>
      <c r="IX186" s="14"/>
      <c r="IY186" s="14"/>
      <c r="IZ186" s="14"/>
      <c r="JA186" s="14"/>
      <c r="JB186" s="14"/>
      <c r="JC186" s="14"/>
      <c r="JD186" s="14"/>
      <c r="JE186" s="14"/>
      <c r="JF186" s="14"/>
      <c r="JG186" s="14"/>
      <c r="JH186" s="14"/>
      <c r="JI186" s="14"/>
      <c r="JJ186" s="14"/>
      <c r="JK186" s="14"/>
      <c r="JL186" s="14"/>
      <c r="JM186" s="14"/>
      <c r="JN186" s="14"/>
      <c r="JO186" s="14"/>
      <c r="JP186" s="14"/>
      <c r="JQ186" s="14"/>
      <c r="JR186" s="14"/>
      <c r="JS186" s="14"/>
      <c r="JT186" s="14"/>
      <c r="JU186" s="14"/>
      <c r="JV186" s="14"/>
      <c r="JW186" s="14"/>
      <c r="JX186" s="14"/>
      <c r="JY186" s="14"/>
      <c r="JZ186" s="14"/>
      <c r="KA186" s="14"/>
      <c r="KB186" s="14"/>
      <c r="KC186" s="14"/>
      <c r="KD186" s="14"/>
      <c r="KE186" s="14"/>
      <c r="KF186" s="14"/>
      <c r="KG186" s="14"/>
      <c r="KH186" s="14"/>
      <c r="KI186" s="14"/>
      <c r="KJ186" s="14"/>
      <c r="KK186" s="14"/>
      <c r="KL186" s="14"/>
      <c r="KM186" s="14"/>
      <c r="KN186" s="14"/>
      <c r="KO186" s="14"/>
      <c r="KP186" s="14"/>
      <c r="KQ186" s="14"/>
      <c r="KR186" s="14"/>
      <c r="KS186" s="14"/>
      <c r="KT186" s="14"/>
      <c r="KU186" s="14"/>
      <c r="KV186" s="14"/>
      <c r="KW186" s="14"/>
      <c r="KX186" s="14"/>
      <c r="KY186" s="14"/>
      <c r="KZ186" s="14"/>
      <c r="LA186" s="14"/>
      <c r="LB186" s="14"/>
      <c r="LC186" s="14"/>
      <c r="LD186" s="14"/>
      <c r="LE186" s="14"/>
      <c r="LF186" s="14"/>
      <c r="LG186" s="14"/>
      <c r="LH186" s="14"/>
      <c r="LI186" s="14"/>
      <c r="LJ186" s="14"/>
      <c r="LK186" s="14"/>
      <c r="LL186" s="14"/>
      <c r="LM186" s="14"/>
      <c r="LN186" s="14"/>
      <c r="LO186" s="14"/>
      <c r="LP186" s="14"/>
      <c r="LQ186" s="14"/>
      <c r="LR186" s="14"/>
      <c r="LS186" s="14"/>
      <c r="LT186" s="14"/>
      <c r="LU186" s="14"/>
      <c r="LV186" s="14"/>
      <c r="LW186" s="14"/>
      <c r="LX186" s="14"/>
      <c r="LY186" s="14"/>
      <c r="LZ186" s="14"/>
      <c r="MA186" s="14"/>
      <c r="MB186" s="14"/>
      <c r="MC186" s="14"/>
      <c r="MD186" s="14"/>
      <c r="ME186" s="14"/>
      <c r="MF186" s="14"/>
      <c r="MG186" s="14"/>
      <c r="MH186" s="14"/>
      <c r="MI186" s="14"/>
      <c r="MJ186" s="14"/>
      <c r="MK186" s="14"/>
      <c r="ML186" s="14"/>
      <c r="MM186" s="14"/>
      <c r="MN186" s="14"/>
      <c r="MO186" s="14"/>
      <c r="MP186" s="14"/>
      <c r="MQ186" s="14"/>
      <c r="MR186" s="14"/>
      <c r="MS186" s="14"/>
      <c r="MT186" s="14"/>
      <c r="MU186" s="14"/>
      <c r="MV186" s="14"/>
      <c r="MW186" s="14"/>
      <c r="MX186" s="14"/>
      <c r="MY186" s="14"/>
      <c r="MZ186" s="14"/>
      <c r="NA186" s="14"/>
      <c r="NB186" s="14"/>
      <c r="NC186" s="14"/>
      <c r="ND186" s="14"/>
      <c r="NE186" s="14"/>
      <c r="NF186" s="14"/>
      <c r="NG186" s="14"/>
      <c r="NH186" s="14"/>
      <c r="NI186" s="14"/>
      <c r="NJ186" s="14"/>
      <c r="NK186" s="14"/>
      <c r="NL186" s="14"/>
      <c r="NM186" s="3"/>
      <c r="NN186" s="3"/>
      <c r="NO186" s="3"/>
      <c r="NP186" s="3"/>
      <c r="NQ186" s="3"/>
      <c r="NR186" s="3"/>
      <c r="NS186" s="3"/>
      <c r="NT186" s="3"/>
      <c r="NU186" s="3"/>
      <c r="NV186" s="3"/>
      <c r="NW186" s="3"/>
      <c r="NX186" s="3"/>
      <c r="NY186" s="3"/>
      <c r="NZ186" s="3"/>
      <c r="OA186" s="3"/>
      <c r="OB186" s="3"/>
      <c r="OC186" s="3"/>
      <c r="OD186" s="3"/>
      <c r="OE186" s="3"/>
      <c r="OF186" s="3"/>
    </row>
    <row r="187" ht="13.5" customHeight="1">
      <c r="A187" s="2"/>
      <c r="B187" s="22"/>
      <c r="C187" s="2"/>
      <c r="D187" s="13"/>
      <c r="E187" s="3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  <c r="EM187" s="14"/>
      <c r="EN187" s="14"/>
      <c r="EO187" s="14"/>
      <c r="EP187" s="14"/>
      <c r="EQ187" s="14"/>
      <c r="ER187" s="14"/>
      <c r="ES187" s="14"/>
      <c r="ET187" s="14"/>
      <c r="EU187" s="14"/>
      <c r="EV187" s="14"/>
      <c r="EW187" s="14"/>
      <c r="EX187" s="14"/>
      <c r="EY187" s="14"/>
      <c r="EZ187" s="14"/>
      <c r="FA187" s="14"/>
      <c r="FB187" s="14"/>
      <c r="FC187" s="14"/>
      <c r="FD187" s="14"/>
      <c r="FE187" s="14"/>
      <c r="FF187" s="14"/>
      <c r="FG187" s="14"/>
      <c r="FH187" s="14"/>
      <c r="FI187" s="14"/>
      <c r="FJ187" s="14"/>
      <c r="FK187" s="14"/>
      <c r="FL187" s="14"/>
      <c r="FM187" s="14"/>
      <c r="FN187" s="14"/>
      <c r="FO187" s="14"/>
      <c r="FP187" s="14"/>
      <c r="FQ187" s="14"/>
      <c r="FR187" s="14"/>
      <c r="FS187" s="14"/>
      <c r="FT187" s="14"/>
      <c r="FU187" s="14"/>
      <c r="FV187" s="14"/>
      <c r="FW187" s="14"/>
      <c r="FX187" s="14"/>
      <c r="FY187" s="14"/>
      <c r="FZ187" s="14"/>
      <c r="GA187" s="14"/>
      <c r="GB187" s="14"/>
      <c r="GC187" s="14"/>
      <c r="GD187" s="14"/>
      <c r="GE187" s="14"/>
      <c r="GF187" s="14"/>
      <c r="GG187" s="14"/>
      <c r="GH187" s="14"/>
      <c r="GI187" s="14"/>
      <c r="GJ187" s="14"/>
      <c r="GK187" s="14"/>
      <c r="GL187" s="14"/>
      <c r="GM187" s="14"/>
      <c r="GN187" s="14"/>
      <c r="GO187" s="14"/>
      <c r="GP187" s="14"/>
      <c r="GQ187" s="14"/>
      <c r="GR187" s="14"/>
      <c r="GS187" s="14"/>
      <c r="GT187" s="14"/>
      <c r="GU187" s="14"/>
      <c r="GV187" s="14"/>
      <c r="GW187" s="14"/>
      <c r="GX187" s="14"/>
      <c r="GY187" s="14"/>
      <c r="GZ187" s="14"/>
      <c r="HA187" s="14"/>
      <c r="HB187" s="14"/>
      <c r="HC187" s="14"/>
      <c r="HD187" s="14"/>
      <c r="HE187" s="14"/>
      <c r="HF187" s="14"/>
      <c r="HG187" s="14"/>
      <c r="HH187" s="14"/>
      <c r="HI187" s="14"/>
      <c r="HJ187" s="14"/>
      <c r="HK187" s="14"/>
      <c r="HL187" s="14"/>
      <c r="HM187" s="14"/>
      <c r="HN187" s="14"/>
      <c r="HO187" s="14"/>
      <c r="HP187" s="14"/>
      <c r="HQ187" s="14"/>
      <c r="HR187" s="14"/>
      <c r="HS187" s="14"/>
      <c r="HT187" s="14"/>
      <c r="HU187" s="14"/>
      <c r="HV187" s="14"/>
      <c r="HW187" s="14"/>
      <c r="HX187" s="14"/>
      <c r="HY187" s="14"/>
      <c r="HZ187" s="14"/>
      <c r="IA187" s="14"/>
      <c r="IB187" s="14"/>
      <c r="IC187" s="14"/>
      <c r="ID187" s="14"/>
      <c r="IE187" s="14"/>
      <c r="IF187" s="14"/>
      <c r="IG187" s="14"/>
      <c r="IH187" s="14"/>
      <c r="II187" s="14"/>
      <c r="IJ187" s="14"/>
      <c r="IK187" s="14"/>
      <c r="IL187" s="14"/>
      <c r="IM187" s="14"/>
      <c r="IN187" s="14"/>
      <c r="IO187" s="14"/>
      <c r="IP187" s="14"/>
      <c r="IQ187" s="14"/>
      <c r="IR187" s="14"/>
      <c r="IS187" s="14"/>
      <c r="IT187" s="14"/>
      <c r="IU187" s="14"/>
      <c r="IV187" s="14"/>
      <c r="IW187" s="14"/>
      <c r="IX187" s="14"/>
      <c r="IY187" s="14"/>
      <c r="IZ187" s="14"/>
      <c r="JA187" s="14"/>
      <c r="JB187" s="14"/>
      <c r="JC187" s="14"/>
      <c r="JD187" s="14"/>
      <c r="JE187" s="14"/>
      <c r="JF187" s="14"/>
      <c r="JG187" s="14"/>
      <c r="JH187" s="14"/>
      <c r="JI187" s="14"/>
      <c r="JJ187" s="14"/>
      <c r="JK187" s="14"/>
      <c r="JL187" s="14"/>
      <c r="JM187" s="14"/>
      <c r="JN187" s="14"/>
      <c r="JO187" s="14"/>
      <c r="JP187" s="14"/>
      <c r="JQ187" s="14"/>
      <c r="JR187" s="14"/>
      <c r="JS187" s="14"/>
      <c r="JT187" s="14"/>
      <c r="JU187" s="14"/>
      <c r="JV187" s="14"/>
      <c r="JW187" s="14"/>
      <c r="JX187" s="14"/>
      <c r="JY187" s="14"/>
      <c r="JZ187" s="14"/>
      <c r="KA187" s="14"/>
      <c r="KB187" s="14"/>
      <c r="KC187" s="14"/>
      <c r="KD187" s="14"/>
      <c r="KE187" s="14"/>
      <c r="KF187" s="14"/>
      <c r="KG187" s="14"/>
      <c r="KH187" s="14"/>
      <c r="KI187" s="14"/>
      <c r="KJ187" s="14"/>
      <c r="KK187" s="14"/>
      <c r="KL187" s="14"/>
      <c r="KM187" s="14"/>
      <c r="KN187" s="14"/>
      <c r="KO187" s="14"/>
      <c r="KP187" s="14"/>
      <c r="KQ187" s="14"/>
      <c r="KR187" s="14"/>
      <c r="KS187" s="14"/>
      <c r="KT187" s="14"/>
      <c r="KU187" s="14"/>
      <c r="KV187" s="14"/>
      <c r="KW187" s="14"/>
      <c r="KX187" s="14"/>
      <c r="KY187" s="14"/>
      <c r="KZ187" s="14"/>
      <c r="LA187" s="14"/>
      <c r="LB187" s="14"/>
      <c r="LC187" s="14"/>
      <c r="LD187" s="14"/>
      <c r="LE187" s="14"/>
      <c r="LF187" s="14"/>
      <c r="LG187" s="14"/>
      <c r="LH187" s="14"/>
      <c r="LI187" s="14"/>
      <c r="LJ187" s="14"/>
      <c r="LK187" s="14"/>
      <c r="LL187" s="14"/>
      <c r="LM187" s="14"/>
      <c r="LN187" s="14"/>
      <c r="LO187" s="14"/>
      <c r="LP187" s="14"/>
      <c r="LQ187" s="14"/>
      <c r="LR187" s="14"/>
      <c r="LS187" s="14"/>
      <c r="LT187" s="14"/>
      <c r="LU187" s="14"/>
      <c r="LV187" s="14"/>
      <c r="LW187" s="14"/>
      <c r="LX187" s="14"/>
      <c r="LY187" s="14"/>
      <c r="LZ187" s="14"/>
      <c r="MA187" s="14"/>
      <c r="MB187" s="14"/>
      <c r="MC187" s="14"/>
      <c r="MD187" s="14"/>
      <c r="ME187" s="14"/>
      <c r="MF187" s="14"/>
      <c r="MG187" s="14"/>
      <c r="MH187" s="14"/>
      <c r="MI187" s="14"/>
      <c r="MJ187" s="14"/>
      <c r="MK187" s="14"/>
      <c r="ML187" s="14"/>
      <c r="MM187" s="14"/>
      <c r="MN187" s="14"/>
      <c r="MO187" s="14"/>
      <c r="MP187" s="14"/>
      <c r="MQ187" s="14"/>
      <c r="MR187" s="14"/>
      <c r="MS187" s="14"/>
      <c r="MT187" s="14"/>
      <c r="MU187" s="14"/>
      <c r="MV187" s="14"/>
      <c r="MW187" s="14"/>
      <c r="MX187" s="14"/>
      <c r="MY187" s="14"/>
      <c r="MZ187" s="14"/>
      <c r="NA187" s="14"/>
      <c r="NB187" s="14"/>
      <c r="NC187" s="14"/>
      <c r="ND187" s="14"/>
      <c r="NE187" s="14"/>
      <c r="NF187" s="14"/>
      <c r="NG187" s="14"/>
      <c r="NH187" s="14"/>
      <c r="NI187" s="14"/>
      <c r="NJ187" s="14"/>
      <c r="NK187" s="14"/>
      <c r="NL187" s="14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</row>
    <row r="188" ht="13.5" customHeight="1">
      <c r="A188" s="2"/>
      <c r="B188" s="22"/>
      <c r="C188" s="2"/>
      <c r="D188" s="13"/>
      <c r="E188" s="3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  <c r="EM188" s="14"/>
      <c r="EN188" s="14"/>
      <c r="EO188" s="14"/>
      <c r="EP188" s="14"/>
      <c r="EQ188" s="14"/>
      <c r="ER188" s="14"/>
      <c r="ES188" s="14"/>
      <c r="ET188" s="14"/>
      <c r="EU188" s="14"/>
      <c r="EV188" s="14"/>
      <c r="EW188" s="14"/>
      <c r="EX188" s="14"/>
      <c r="EY188" s="14"/>
      <c r="EZ188" s="14"/>
      <c r="FA188" s="14"/>
      <c r="FB188" s="14"/>
      <c r="FC188" s="14"/>
      <c r="FD188" s="14"/>
      <c r="FE188" s="14"/>
      <c r="FF188" s="14"/>
      <c r="FG188" s="14"/>
      <c r="FH188" s="14"/>
      <c r="FI188" s="14"/>
      <c r="FJ188" s="14"/>
      <c r="FK188" s="14"/>
      <c r="FL188" s="14"/>
      <c r="FM188" s="14"/>
      <c r="FN188" s="14"/>
      <c r="FO188" s="14"/>
      <c r="FP188" s="14"/>
      <c r="FQ188" s="14"/>
      <c r="FR188" s="14"/>
      <c r="FS188" s="14"/>
      <c r="FT188" s="14"/>
      <c r="FU188" s="14"/>
      <c r="FV188" s="14"/>
      <c r="FW188" s="14"/>
      <c r="FX188" s="14"/>
      <c r="FY188" s="14"/>
      <c r="FZ188" s="14"/>
      <c r="GA188" s="14"/>
      <c r="GB188" s="14"/>
      <c r="GC188" s="14"/>
      <c r="GD188" s="14"/>
      <c r="GE188" s="14"/>
      <c r="GF188" s="14"/>
      <c r="GG188" s="14"/>
      <c r="GH188" s="14"/>
      <c r="GI188" s="14"/>
      <c r="GJ188" s="14"/>
      <c r="GK188" s="14"/>
      <c r="GL188" s="14"/>
      <c r="GM188" s="14"/>
      <c r="GN188" s="14"/>
      <c r="GO188" s="14"/>
      <c r="GP188" s="14"/>
      <c r="GQ188" s="14"/>
      <c r="GR188" s="14"/>
      <c r="GS188" s="14"/>
      <c r="GT188" s="14"/>
      <c r="GU188" s="14"/>
      <c r="GV188" s="14"/>
      <c r="GW188" s="14"/>
      <c r="GX188" s="14"/>
      <c r="GY188" s="14"/>
      <c r="GZ188" s="14"/>
      <c r="HA188" s="14"/>
      <c r="HB188" s="14"/>
      <c r="HC188" s="14"/>
      <c r="HD188" s="14"/>
      <c r="HE188" s="14"/>
      <c r="HF188" s="14"/>
      <c r="HG188" s="14"/>
      <c r="HH188" s="14"/>
      <c r="HI188" s="14"/>
      <c r="HJ188" s="14"/>
      <c r="HK188" s="14"/>
      <c r="HL188" s="14"/>
      <c r="HM188" s="14"/>
      <c r="HN188" s="14"/>
      <c r="HO188" s="14"/>
      <c r="HP188" s="14"/>
      <c r="HQ188" s="14"/>
      <c r="HR188" s="14"/>
      <c r="HS188" s="14"/>
      <c r="HT188" s="14"/>
      <c r="HU188" s="14"/>
      <c r="HV188" s="14"/>
      <c r="HW188" s="14"/>
      <c r="HX188" s="14"/>
      <c r="HY188" s="14"/>
      <c r="HZ188" s="14"/>
      <c r="IA188" s="14"/>
      <c r="IB188" s="14"/>
      <c r="IC188" s="14"/>
      <c r="ID188" s="14"/>
      <c r="IE188" s="14"/>
      <c r="IF188" s="14"/>
      <c r="IG188" s="14"/>
      <c r="IH188" s="14"/>
      <c r="II188" s="14"/>
      <c r="IJ188" s="14"/>
      <c r="IK188" s="14"/>
      <c r="IL188" s="14"/>
      <c r="IM188" s="14"/>
      <c r="IN188" s="14"/>
      <c r="IO188" s="14"/>
      <c r="IP188" s="14"/>
      <c r="IQ188" s="14"/>
      <c r="IR188" s="14"/>
      <c r="IS188" s="14"/>
      <c r="IT188" s="14"/>
      <c r="IU188" s="14"/>
      <c r="IV188" s="14"/>
      <c r="IW188" s="14"/>
      <c r="IX188" s="14"/>
      <c r="IY188" s="14"/>
      <c r="IZ188" s="14"/>
      <c r="JA188" s="14"/>
      <c r="JB188" s="14"/>
      <c r="JC188" s="14"/>
      <c r="JD188" s="14"/>
      <c r="JE188" s="14"/>
      <c r="JF188" s="14"/>
      <c r="JG188" s="14"/>
      <c r="JH188" s="14"/>
      <c r="JI188" s="14"/>
      <c r="JJ188" s="14"/>
      <c r="JK188" s="14"/>
      <c r="JL188" s="14"/>
      <c r="JM188" s="14"/>
      <c r="JN188" s="14"/>
      <c r="JO188" s="14"/>
      <c r="JP188" s="14"/>
      <c r="JQ188" s="14"/>
      <c r="JR188" s="14"/>
      <c r="JS188" s="14"/>
      <c r="JT188" s="14"/>
      <c r="JU188" s="14"/>
      <c r="JV188" s="14"/>
      <c r="JW188" s="14"/>
      <c r="JX188" s="14"/>
      <c r="JY188" s="14"/>
      <c r="JZ188" s="14"/>
      <c r="KA188" s="14"/>
      <c r="KB188" s="14"/>
      <c r="KC188" s="14"/>
      <c r="KD188" s="14"/>
      <c r="KE188" s="14"/>
      <c r="KF188" s="14"/>
      <c r="KG188" s="14"/>
      <c r="KH188" s="14"/>
      <c r="KI188" s="14"/>
      <c r="KJ188" s="14"/>
      <c r="KK188" s="14"/>
      <c r="KL188" s="14"/>
      <c r="KM188" s="14"/>
      <c r="KN188" s="14"/>
      <c r="KO188" s="14"/>
      <c r="KP188" s="14"/>
      <c r="KQ188" s="14"/>
      <c r="KR188" s="14"/>
      <c r="KS188" s="14"/>
      <c r="KT188" s="14"/>
      <c r="KU188" s="14"/>
      <c r="KV188" s="14"/>
      <c r="KW188" s="14"/>
      <c r="KX188" s="14"/>
      <c r="KY188" s="14"/>
      <c r="KZ188" s="14"/>
      <c r="LA188" s="14"/>
      <c r="LB188" s="14"/>
      <c r="LC188" s="14"/>
      <c r="LD188" s="14"/>
      <c r="LE188" s="14"/>
      <c r="LF188" s="14"/>
      <c r="LG188" s="14"/>
      <c r="LH188" s="14"/>
      <c r="LI188" s="14"/>
      <c r="LJ188" s="14"/>
      <c r="LK188" s="14"/>
      <c r="LL188" s="14"/>
      <c r="LM188" s="14"/>
      <c r="LN188" s="14"/>
      <c r="LO188" s="14"/>
      <c r="LP188" s="14"/>
      <c r="LQ188" s="14"/>
      <c r="LR188" s="14"/>
      <c r="LS188" s="14"/>
      <c r="LT188" s="14"/>
      <c r="LU188" s="14"/>
      <c r="LV188" s="14"/>
      <c r="LW188" s="14"/>
      <c r="LX188" s="14"/>
      <c r="LY188" s="14"/>
      <c r="LZ188" s="14"/>
      <c r="MA188" s="14"/>
      <c r="MB188" s="14"/>
      <c r="MC188" s="14"/>
      <c r="MD188" s="14"/>
      <c r="ME188" s="14"/>
      <c r="MF188" s="14"/>
      <c r="MG188" s="14"/>
      <c r="MH188" s="14"/>
      <c r="MI188" s="14"/>
      <c r="MJ188" s="14"/>
      <c r="MK188" s="14"/>
      <c r="ML188" s="14"/>
      <c r="MM188" s="14"/>
      <c r="MN188" s="14"/>
      <c r="MO188" s="14"/>
      <c r="MP188" s="14"/>
      <c r="MQ188" s="14"/>
      <c r="MR188" s="14"/>
      <c r="MS188" s="14"/>
      <c r="MT188" s="14"/>
      <c r="MU188" s="14"/>
      <c r="MV188" s="14"/>
      <c r="MW188" s="14"/>
      <c r="MX188" s="14"/>
      <c r="MY188" s="14"/>
      <c r="MZ188" s="14"/>
      <c r="NA188" s="14"/>
      <c r="NB188" s="14"/>
      <c r="NC188" s="14"/>
      <c r="ND188" s="14"/>
      <c r="NE188" s="14"/>
      <c r="NF188" s="14"/>
      <c r="NG188" s="14"/>
      <c r="NH188" s="14"/>
      <c r="NI188" s="14"/>
      <c r="NJ188" s="14"/>
      <c r="NK188" s="14"/>
      <c r="NL188" s="14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</row>
    <row r="189" ht="13.5" customHeight="1">
      <c r="A189" s="2"/>
      <c r="B189" s="22"/>
      <c r="C189" s="2"/>
      <c r="D189" s="13"/>
      <c r="E189" s="3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4"/>
      <c r="DF189" s="14"/>
      <c r="DG189" s="14"/>
      <c r="DH189" s="14"/>
      <c r="DI189" s="14"/>
      <c r="DJ189" s="14"/>
      <c r="DK189" s="14"/>
      <c r="DL189" s="14"/>
      <c r="DM189" s="14"/>
      <c r="DN189" s="14"/>
      <c r="DO189" s="14"/>
      <c r="DP189" s="14"/>
      <c r="DQ189" s="14"/>
      <c r="DR189" s="14"/>
      <c r="DS189" s="14"/>
      <c r="DT189" s="14"/>
      <c r="DU189" s="14"/>
      <c r="DV189" s="14"/>
      <c r="DW189" s="14"/>
      <c r="DX189" s="14"/>
      <c r="DY189" s="14"/>
      <c r="DZ189" s="14"/>
      <c r="EA189" s="14"/>
      <c r="EB189" s="14"/>
      <c r="EC189" s="14"/>
      <c r="ED189" s="14"/>
      <c r="EE189" s="14"/>
      <c r="EF189" s="14"/>
      <c r="EG189" s="14"/>
      <c r="EH189" s="14"/>
      <c r="EI189" s="14"/>
      <c r="EJ189" s="14"/>
      <c r="EK189" s="14"/>
      <c r="EL189" s="14"/>
      <c r="EM189" s="14"/>
      <c r="EN189" s="14"/>
      <c r="EO189" s="14"/>
      <c r="EP189" s="14"/>
      <c r="EQ189" s="14"/>
      <c r="ER189" s="14"/>
      <c r="ES189" s="14"/>
      <c r="ET189" s="14"/>
      <c r="EU189" s="14"/>
      <c r="EV189" s="14"/>
      <c r="EW189" s="14"/>
      <c r="EX189" s="14"/>
      <c r="EY189" s="14"/>
      <c r="EZ189" s="14"/>
      <c r="FA189" s="14"/>
      <c r="FB189" s="14"/>
      <c r="FC189" s="14"/>
      <c r="FD189" s="14"/>
      <c r="FE189" s="14"/>
      <c r="FF189" s="14"/>
      <c r="FG189" s="14"/>
      <c r="FH189" s="14"/>
      <c r="FI189" s="14"/>
      <c r="FJ189" s="14"/>
      <c r="FK189" s="14"/>
      <c r="FL189" s="14"/>
      <c r="FM189" s="14"/>
      <c r="FN189" s="14"/>
      <c r="FO189" s="14"/>
      <c r="FP189" s="14"/>
      <c r="FQ189" s="14"/>
      <c r="FR189" s="14"/>
      <c r="FS189" s="14"/>
      <c r="FT189" s="14"/>
      <c r="FU189" s="14"/>
      <c r="FV189" s="14"/>
      <c r="FW189" s="14"/>
      <c r="FX189" s="14"/>
      <c r="FY189" s="14"/>
      <c r="FZ189" s="14"/>
      <c r="GA189" s="14"/>
      <c r="GB189" s="14"/>
      <c r="GC189" s="14"/>
      <c r="GD189" s="14"/>
      <c r="GE189" s="14"/>
      <c r="GF189" s="14"/>
      <c r="GG189" s="14"/>
      <c r="GH189" s="14"/>
      <c r="GI189" s="14"/>
      <c r="GJ189" s="14"/>
      <c r="GK189" s="14"/>
      <c r="GL189" s="14"/>
      <c r="GM189" s="14"/>
      <c r="GN189" s="14"/>
      <c r="GO189" s="14"/>
      <c r="GP189" s="14"/>
      <c r="GQ189" s="14"/>
      <c r="GR189" s="14"/>
      <c r="GS189" s="14"/>
      <c r="GT189" s="14"/>
      <c r="GU189" s="14"/>
      <c r="GV189" s="14"/>
      <c r="GW189" s="14"/>
      <c r="GX189" s="14"/>
      <c r="GY189" s="14"/>
      <c r="GZ189" s="14"/>
      <c r="HA189" s="14"/>
      <c r="HB189" s="14"/>
      <c r="HC189" s="14"/>
      <c r="HD189" s="14"/>
      <c r="HE189" s="14"/>
      <c r="HF189" s="14"/>
      <c r="HG189" s="14"/>
      <c r="HH189" s="14"/>
      <c r="HI189" s="14"/>
      <c r="HJ189" s="14"/>
      <c r="HK189" s="14"/>
      <c r="HL189" s="14"/>
      <c r="HM189" s="14"/>
      <c r="HN189" s="14"/>
      <c r="HO189" s="14"/>
      <c r="HP189" s="14"/>
      <c r="HQ189" s="14"/>
      <c r="HR189" s="14"/>
      <c r="HS189" s="14"/>
      <c r="HT189" s="14"/>
      <c r="HU189" s="14"/>
      <c r="HV189" s="14"/>
      <c r="HW189" s="14"/>
      <c r="HX189" s="14"/>
      <c r="HY189" s="14"/>
      <c r="HZ189" s="14"/>
      <c r="IA189" s="14"/>
      <c r="IB189" s="14"/>
      <c r="IC189" s="14"/>
      <c r="ID189" s="14"/>
      <c r="IE189" s="14"/>
      <c r="IF189" s="14"/>
      <c r="IG189" s="14"/>
      <c r="IH189" s="14"/>
      <c r="II189" s="14"/>
      <c r="IJ189" s="14"/>
      <c r="IK189" s="14"/>
      <c r="IL189" s="14"/>
      <c r="IM189" s="14"/>
      <c r="IN189" s="14"/>
      <c r="IO189" s="14"/>
      <c r="IP189" s="14"/>
      <c r="IQ189" s="14"/>
      <c r="IR189" s="14"/>
      <c r="IS189" s="14"/>
      <c r="IT189" s="14"/>
      <c r="IU189" s="14"/>
      <c r="IV189" s="14"/>
      <c r="IW189" s="14"/>
      <c r="IX189" s="14"/>
      <c r="IY189" s="14"/>
      <c r="IZ189" s="14"/>
      <c r="JA189" s="14"/>
      <c r="JB189" s="14"/>
      <c r="JC189" s="14"/>
      <c r="JD189" s="14"/>
      <c r="JE189" s="14"/>
      <c r="JF189" s="14"/>
      <c r="JG189" s="14"/>
      <c r="JH189" s="14"/>
      <c r="JI189" s="14"/>
      <c r="JJ189" s="14"/>
      <c r="JK189" s="14"/>
      <c r="JL189" s="14"/>
      <c r="JM189" s="14"/>
      <c r="JN189" s="14"/>
      <c r="JO189" s="14"/>
      <c r="JP189" s="14"/>
      <c r="JQ189" s="14"/>
      <c r="JR189" s="14"/>
      <c r="JS189" s="14"/>
      <c r="JT189" s="14"/>
      <c r="JU189" s="14"/>
      <c r="JV189" s="14"/>
      <c r="JW189" s="14"/>
      <c r="JX189" s="14"/>
      <c r="JY189" s="14"/>
      <c r="JZ189" s="14"/>
      <c r="KA189" s="14"/>
      <c r="KB189" s="14"/>
      <c r="KC189" s="14"/>
      <c r="KD189" s="14"/>
      <c r="KE189" s="14"/>
      <c r="KF189" s="14"/>
      <c r="KG189" s="14"/>
      <c r="KH189" s="14"/>
      <c r="KI189" s="14"/>
      <c r="KJ189" s="14"/>
      <c r="KK189" s="14"/>
      <c r="KL189" s="14"/>
      <c r="KM189" s="14"/>
      <c r="KN189" s="14"/>
      <c r="KO189" s="14"/>
      <c r="KP189" s="14"/>
      <c r="KQ189" s="14"/>
      <c r="KR189" s="14"/>
      <c r="KS189" s="14"/>
      <c r="KT189" s="14"/>
      <c r="KU189" s="14"/>
      <c r="KV189" s="14"/>
      <c r="KW189" s="14"/>
      <c r="KX189" s="14"/>
      <c r="KY189" s="14"/>
      <c r="KZ189" s="14"/>
      <c r="LA189" s="14"/>
      <c r="LB189" s="14"/>
      <c r="LC189" s="14"/>
      <c r="LD189" s="14"/>
      <c r="LE189" s="14"/>
      <c r="LF189" s="14"/>
      <c r="LG189" s="14"/>
      <c r="LH189" s="14"/>
      <c r="LI189" s="14"/>
      <c r="LJ189" s="14"/>
      <c r="LK189" s="14"/>
      <c r="LL189" s="14"/>
      <c r="LM189" s="14"/>
      <c r="LN189" s="14"/>
      <c r="LO189" s="14"/>
      <c r="LP189" s="14"/>
      <c r="LQ189" s="14"/>
      <c r="LR189" s="14"/>
      <c r="LS189" s="14"/>
      <c r="LT189" s="14"/>
      <c r="LU189" s="14"/>
      <c r="LV189" s="14"/>
      <c r="LW189" s="14"/>
      <c r="LX189" s="14"/>
      <c r="LY189" s="14"/>
      <c r="LZ189" s="14"/>
      <c r="MA189" s="14"/>
      <c r="MB189" s="14"/>
      <c r="MC189" s="14"/>
      <c r="MD189" s="14"/>
      <c r="ME189" s="14"/>
      <c r="MF189" s="14"/>
      <c r="MG189" s="14"/>
      <c r="MH189" s="14"/>
      <c r="MI189" s="14"/>
      <c r="MJ189" s="14"/>
      <c r="MK189" s="14"/>
      <c r="ML189" s="14"/>
      <c r="MM189" s="14"/>
      <c r="MN189" s="14"/>
      <c r="MO189" s="14"/>
      <c r="MP189" s="14"/>
      <c r="MQ189" s="14"/>
      <c r="MR189" s="14"/>
      <c r="MS189" s="14"/>
      <c r="MT189" s="14"/>
      <c r="MU189" s="14"/>
      <c r="MV189" s="14"/>
      <c r="MW189" s="14"/>
      <c r="MX189" s="14"/>
      <c r="MY189" s="14"/>
      <c r="MZ189" s="14"/>
      <c r="NA189" s="14"/>
      <c r="NB189" s="14"/>
      <c r="NC189" s="14"/>
      <c r="ND189" s="14"/>
      <c r="NE189" s="14"/>
      <c r="NF189" s="14"/>
      <c r="NG189" s="14"/>
      <c r="NH189" s="14"/>
      <c r="NI189" s="14"/>
      <c r="NJ189" s="14"/>
      <c r="NK189" s="14"/>
      <c r="NL189" s="14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</row>
    <row r="190" ht="13.5" customHeight="1">
      <c r="A190" s="2"/>
      <c r="B190" s="22"/>
      <c r="C190" s="2"/>
      <c r="D190" s="13"/>
      <c r="E190" s="3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4"/>
      <c r="DF190" s="14"/>
      <c r="DG190" s="14"/>
      <c r="DH190" s="14"/>
      <c r="DI190" s="14"/>
      <c r="DJ190" s="14"/>
      <c r="DK190" s="14"/>
      <c r="DL190" s="14"/>
      <c r="DM190" s="14"/>
      <c r="DN190" s="14"/>
      <c r="DO190" s="14"/>
      <c r="DP190" s="14"/>
      <c r="DQ190" s="14"/>
      <c r="DR190" s="14"/>
      <c r="DS190" s="14"/>
      <c r="DT190" s="14"/>
      <c r="DU190" s="14"/>
      <c r="DV190" s="14"/>
      <c r="DW190" s="14"/>
      <c r="DX190" s="14"/>
      <c r="DY190" s="14"/>
      <c r="DZ190" s="14"/>
      <c r="EA190" s="14"/>
      <c r="EB190" s="14"/>
      <c r="EC190" s="14"/>
      <c r="ED190" s="14"/>
      <c r="EE190" s="14"/>
      <c r="EF190" s="14"/>
      <c r="EG190" s="14"/>
      <c r="EH190" s="14"/>
      <c r="EI190" s="14"/>
      <c r="EJ190" s="14"/>
      <c r="EK190" s="14"/>
      <c r="EL190" s="14"/>
      <c r="EM190" s="14"/>
      <c r="EN190" s="14"/>
      <c r="EO190" s="14"/>
      <c r="EP190" s="14"/>
      <c r="EQ190" s="14"/>
      <c r="ER190" s="14"/>
      <c r="ES190" s="14"/>
      <c r="ET190" s="14"/>
      <c r="EU190" s="14"/>
      <c r="EV190" s="14"/>
      <c r="EW190" s="14"/>
      <c r="EX190" s="14"/>
      <c r="EY190" s="14"/>
      <c r="EZ190" s="14"/>
      <c r="FA190" s="14"/>
      <c r="FB190" s="14"/>
      <c r="FC190" s="14"/>
      <c r="FD190" s="14"/>
      <c r="FE190" s="14"/>
      <c r="FF190" s="14"/>
      <c r="FG190" s="14"/>
      <c r="FH190" s="14"/>
      <c r="FI190" s="14"/>
      <c r="FJ190" s="14"/>
      <c r="FK190" s="14"/>
      <c r="FL190" s="14"/>
      <c r="FM190" s="14"/>
      <c r="FN190" s="14"/>
      <c r="FO190" s="14"/>
      <c r="FP190" s="14"/>
      <c r="FQ190" s="14"/>
      <c r="FR190" s="14"/>
      <c r="FS190" s="14"/>
      <c r="FT190" s="14"/>
      <c r="FU190" s="14"/>
      <c r="FV190" s="14"/>
      <c r="FW190" s="14"/>
      <c r="FX190" s="14"/>
      <c r="FY190" s="14"/>
      <c r="FZ190" s="14"/>
      <c r="GA190" s="14"/>
      <c r="GB190" s="14"/>
      <c r="GC190" s="14"/>
      <c r="GD190" s="14"/>
      <c r="GE190" s="14"/>
      <c r="GF190" s="14"/>
      <c r="GG190" s="14"/>
      <c r="GH190" s="14"/>
      <c r="GI190" s="14"/>
      <c r="GJ190" s="14"/>
      <c r="GK190" s="14"/>
      <c r="GL190" s="14"/>
      <c r="GM190" s="14"/>
      <c r="GN190" s="14"/>
      <c r="GO190" s="14"/>
      <c r="GP190" s="14"/>
      <c r="GQ190" s="14"/>
      <c r="GR190" s="14"/>
      <c r="GS190" s="14"/>
      <c r="GT190" s="14"/>
      <c r="GU190" s="14"/>
      <c r="GV190" s="14"/>
      <c r="GW190" s="14"/>
      <c r="GX190" s="14"/>
      <c r="GY190" s="14"/>
      <c r="GZ190" s="14"/>
      <c r="HA190" s="14"/>
      <c r="HB190" s="14"/>
      <c r="HC190" s="14"/>
      <c r="HD190" s="14"/>
      <c r="HE190" s="14"/>
      <c r="HF190" s="14"/>
      <c r="HG190" s="14"/>
      <c r="HH190" s="14"/>
      <c r="HI190" s="14"/>
      <c r="HJ190" s="14"/>
      <c r="HK190" s="14"/>
      <c r="HL190" s="14"/>
      <c r="HM190" s="14"/>
      <c r="HN190" s="14"/>
      <c r="HO190" s="14"/>
      <c r="HP190" s="14"/>
      <c r="HQ190" s="14"/>
      <c r="HR190" s="14"/>
      <c r="HS190" s="14"/>
      <c r="HT190" s="14"/>
      <c r="HU190" s="14"/>
      <c r="HV190" s="14"/>
      <c r="HW190" s="14"/>
      <c r="HX190" s="14"/>
      <c r="HY190" s="14"/>
      <c r="HZ190" s="14"/>
      <c r="IA190" s="14"/>
      <c r="IB190" s="14"/>
      <c r="IC190" s="14"/>
      <c r="ID190" s="14"/>
      <c r="IE190" s="14"/>
      <c r="IF190" s="14"/>
      <c r="IG190" s="14"/>
      <c r="IH190" s="14"/>
      <c r="II190" s="14"/>
      <c r="IJ190" s="14"/>
      <c r="IK190" s="14"/>
      <c r="IL190" s="14"/>
      <c r="IM190" s="14"/>
      <c r="IN190" s="14"/>
      <c r="IO190" s="14"/>
      <c r="IP190" s="14"/>
      <c r="IQ190" s="14"/>
      <c r="IR190" s="14"/>
      <c r="IS190" s="14"/>
      <c r="IT190" s="14"/>
      <c r="IU190" s="14"/>
      <c r="IV190" s="14"/>
      <c r="IW190" s="14"/>
      <c r="IX190" s="14"/>
      <c r="IY190" s="14"/>
      <c r="IZ190" s="14"/>
      <c r="JA190" s="14"/>
      <c r="JB190" s="14"/>
      <c r="JC190" s="14"/>
      <c r="JD190" s="14"/>
      <c r="JE190" s="14"/>
      <c r="JF190" s="14"/>
      <c r="JG190" s="14"/>
      <c r="JH190" s="14"/>
      <c r="JI190" s="14"/>
      <c r="JJ190" s="14"/>
      <c r="JK190" s="14"/>
      <c r="JL190" s="14"/>
      <c r="JM190" s="14"/>
      <c r="JN190" s="14"/>
      <c r="JO190" s="14"/>
      <c r="JP190" s="14"/>
      <c r="JQ190" s="14"/>
      <c r="JR190" s="14"/>
      <c r="JS190" s="14"/>
      <c r="JT190" s="14"/>
      <c r="JU190" s="14"/>
      <c r="JV190" s="14"/>
      <c r="JW190" s="14"/>
      <c r="JX190" s="14"/>
      <c r="JY190" s="14"/>
      <c r="JZ190" s="14"/>
      <c r="KA190" s="14"/>
      <c r="KB190" s="14"/>
      <c r="KC190" s="14"/>
      <c r="KD190" s="14"/>
      <c r="KE190" s="14"/>
      <c r="KF190" s="14"/>
      <c r="KG190" s="14"/>
      <c r="KH190" s="14"/>
      <c r="KI190" s="14"/>
      <c r="KJ190" s="14"/>
      <c r="KK190" s="14"/>
      <c r="KL190" s="14"/>
      <c r="KM190" s="14"/>
      <c r="KN190" s="14"/>
      <c r="KO190" s="14"/>
      <c r="KP190" s="14"/>
      <c r="KQ190" s="14"/>
      <c r="KR190" s="14"/>
      <c r="KS190" s="14"/>
      <c r="KT190" s="14"/>
      <c r="KU190" s="14"/>
      <c r="KV190" s="14"/>
      <c r="KW190" s="14"/>
      <c r="KX190" s="14"/>
      <c r="KY190" s="14"/>
      <c r="KZ190" s="14"/>
      <c r="LA190" s="14"/>
      <c r="LB190" s="14"/>
      <c r="LC190" s="14"/>
      <c r="LD190" s="14"/>
      <c r="LE190" s="14"/>
      <c r="LF190" s="14"/>
      <c r="LG190" s="14"/>
      <c r="LH190" s="14"/>
      <c r="LI190" s="14"/>
      <c r="LJ190" s="14"/>
      <c r="LK190" s="14"/>
      <c r="LL190" s="14"/>
      <c r="LM190" s="14"/>
      <c r="LN190" s="14"/>
      <c r="LO190" s="14"/>
      <c r="LP190" s="14"/>
      <c r="LQ190" s="14"/>
      <c r="LR190" s="14"/>
      <c r="LS190" s="14"/>
      <c r="LT190" s="14"/>
      <c r="LU190" s="14"/>
      <c r="LV190" s="14"/>
      <c r="LW190" s="14"/>
      <c r="LX190" s="14"/>
      <c r="LY190" s="14"/>
      <c r="LZ190" s="14"/>
      <c r="MA190" s="14"/>
      <c r="MB190" s="14"/>
      <c r="MC190" s="14"/>
      <c r="MD190" s="14"/>
      <c r="ME190" s="14"/>
      <c r="MF190" s="14"/>
      <c r="MG190" s="14"/>
      <c r="MH190" s="14"/>
      <c r="MI190" s="14"/>
      <c r="MJ190" s="14"/>
      <c r="MK190" s="14"/>
      <c r="ML190" s="14"/>
      <c r="MM190" s="14"/>
      <c r="MN190" s="14"/>
      <c r="MO190" s="14"/>
      <c r="MP190" s="14"/>
      <c r="MQ190" s="14"/>
      <c r="MR190" s="14"/>
      <c r="MS190" s="14"/>
      <c r="MT190" s="14"/>
      <c r="MU190" s="14"/>
      <c r="MV190" s="14"/>
      <c r="MW190" s="14"/>
      <c r="MX190" s="14"/>
      <c r="MY190" s="14"/>
      <c r="MZ190" s="14"/>
      <c r="NA190" s="14"/>
      <c r="NB190" s="14"/>
      <c r="NC190" s="14"/>
      <c r="ND190" s="14"/>
      <c r="NE190" s="14"/>
      <c r="NF190" s="14"/>
      <c r="NG190" s="14"/>
      <c r="NH190" s="14"/>
      <c r="NI190" s="14"/>
      <c r="NJ190" s="14"/>
      <c r="NK190" s="14"/>
      <c r="NL190" s="14"/>
      <c r="NM190" s="3"/>
      <c r="NN190" s="3"/>
      <c r="NO190" s="3"/>
      <c r="NP190" s="3"/>
      <c r="NQ190" s="3"/>
      <c r="NR190" s="3"/>
      <c r="NS190" s="3"/>
      <c r="NT190" s="3"/>
      <c r="NU190" s="3"/>
      <c r="NV190" s="3"/>
      <c r="NW190" s="3"/>
      <c r="NX190" s="3"/>
      <c r="NY190" s="3"/>
      <c r="NZ190" s="3"/>
      <c r="OA190" s="3"/>
      <c r="OB190" s="3"/>
      <c r="OC190" s="3"/>
      <c r="OD190" s="3"/>
      <c r="OE190" s="3"/>
      <c r="OF190" s="3"/>
    </row>
    <row r="191" ht="13.5" customHeight="1">
      <c r="A191" s="2"/>
      <c r="B191" s="22"/>
      <c r="C191" s="2"/>
      <c r="D191" s="13"/>
      <c r="E191" s="3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4"/>
      <c r="DJ191" s="14"/>
      <c r="DK191" s="14"/>
      <c r="DL191" s="14"/>
      <c r="DM191" s="14"/>
      <c r="DN191" s="14"/>
      <c r="DO191" s="14"/>
      <c r="DP191" s="14"/>
      <c r="DQ191" s="14"/>
      <c r="DR191" s="14"/>
      <c r="DS191" s="14"/>
      <c r="DT191" s="14"/>
      <c r="DU191" s="14"/>
      <c r="DV191" s="14"/>
      <c r="DW191" s="14"/>
      <c r="DX191" s="14"/>
      <c r="DY191" s="14"/>
      <c r="DZ191" s="14"/>
      <c r="EA191" s="14"/>
      <c r="EB191" s="14"/>
      <c r="EC191" s="14"/>
      <c r="ED191" s="14"/>
      <c r="EE191" s="14"/>
      <c r="EF191" s="14"/>
      <c r="EG191" s="14"/>
      <c r="EH191" s="14"/>
      <c r="EI191" s="14"/>
      <c r="EJ191" s="14"/>
      <c r="EK191" s="14"/>
      <c r="EL191" s="14"/>
      <c r="EM191" s="14"/>
      <c r="EN191" s="14"/>
      <c r="EO191" s="14"/>
      <c r="EP191" s="14"/>
      <c r="EQ191" s="14"/>
      <c r="ER191" s="14"/>
      <c r="ES191" s="14"/>
      <c r="ET191" s="14"/>
      <c r="EU191" s="14"/>
      <c r="EV191" s="14"/>
      <c r="EW191" s="14"/>
      <c r="EX191" s="14"/>
      <c r="EY191" s="14"/>
      <c r="EZ191" s="14"/>
      <c r="FA191" s="14"/>
      <c r="FB191" s="14"/>
      <c r="FC191" s="14"/>
      <c r="FD191" s="14"/>
      <c r="FE191" s="14"/>
      <c r="FF191" s="14"/>
      <c r="FG191" s="14"/>
      <c r="FH191" s="14"/>
      <c r="FI191" s="14"/>
      <c r="FJ191" s="14"/>
      <c r="FK191" s="14"/>
      <c r="FL191" s="14"/>
      <c r="FM191" s="14"/>
      <c r="FN191" s="14"/>
      <c r="FO191" s="14"/>
      <c r="FP191" s="14"/>
      <c r="FQ191" s="14"/>
      <c r="FR191" s="14"/>
      <c r="FS191" s="14"/>
      <c r="FT191" s="14"/>
      <c r="FU191" s="14"/>
      <c r="FV191" s="14"/>
      <c r="FW191" s="14"/>
      <c r="FX191" s="14"/>
      <c r="FY191" s="14"/>
      <c r="FZ191" s="14"/>
      <c r="GA191" s="14"/>
      <c r="GB191" s="14"/>
      <c r="GC191" s="14"/>
      <c r="GD191" s="14"/>
      <c r="GE191" s="14"/>
      <c r="GF191" s="14"/>
      <c r="GG191" s="14"/>
      <c r="GH191" s="14"/>
      <c r="GI191" s="14"/>
      <c r="GJ191" s="14"/>
      <c r="GK191" s="14"/>
      <c r="GL191" s="14"/>
      <c r="GM191" s="14"/>
      <c r="GN191" s="14"/>
      <c r="GO191" s="14"/>
      <c r="GP191" s="14"/>
      <c r="GQ191" s="14"/>
      <c r="GR191" s="14"/>
      <c r="GS191" s="14"/>
      <c r="GT191" s="14"/>
      <c r="GU191" s="14"/>
      <c r="GV191" s="14"/>
      <c r="GW191" s="14"/>
      <c r="GX191" s="14"/>
      <c r="GY191" s="14"/>
      <c r="GZ191" s="14"/>
      <c r="HA191" s="14"/>
      <c r="HB191" s="14"/>
      <c r="HC191" s="14"/>
      <c r="HD191" s="14"/>
      <c r="HE191" s="14"/>
      <c r="HF191" s="14"/>
      <c r="HG191" s="14"/>
      <c r="HH191" s="14"/>
      <c r="HI191" s="14"/>
      <c r="HJ191" s="14"/>
      <c r="HK191" s="14"/>
      <c r="HL191" s="14"/>
      <c r="HM191" s="14"/>
      <c r="HN191" s="14"/>
      <c r="HO191" s="14"/>
      <c r="HP191" s="14"/>
      <c r="HQ191" s="14"/>
      <c r="HR191" s="14"/>
      <c r="HS191" s="14"/>
      <c r="HT191" s="14"/>
      <c r="HU191" s="14"/>
      <c r="HV191" s="14"/>
      <c r="HW191" s="14"/>
      <c r="HX191" s="14"/>
      <c r="HY191" s="14"/>
      <c r="HZ191" s="14"/>
      <c r="IA191" s="14"/>
      <c r="IB191" s="14"/>
      <c r="IC191" s="14"/>
      <c r="ID191" s="14"/>
      <c r="IE191" s="14"/>
      <c r="IF191" s="14"/>
      <c r="IG191" s="14"/>
      <c r="IH191" s="14"/>
      <c r="II191" s="14"/>
      <c r="IJ191" s="14"/>
      <c r="IK191" s="14"/>
      <c r="IL191" s="14"/>
      <c r="IM191" s="14"/>
      <c r="IN191" s="14"/>
      <c r="IO191" s="14"/>
      <c r="IP191" s="14"/>
      <c r="IQ191" s="14"/>
      <c r="IR191" s="14"/>
      <c r="IS191" s="14"/>
      <c r="IT191" s="14"/>
      <c r="IU191" s="14"/>
      <c r="IV191" s="14"/>
      <c r="IW191" s="14"/>
      <c r="IX191" s="14"/>
      <c r="IY191" s="14"/>
      <c r="IZ191" s="14"/>
      <c r="JA191" s="14"/>
      <c r="JB191" s="14"/>
      <c r="JC191" s="14"/>
      <c r="JD191" s="14"/>
      <c r="JE191" s="14"/>
      <c r="JF191" s="14"/>
      <c r="JG191" s="14"/>
      <c r="JH191" s="14"/>
      <c r="JI191" s="14"/>
      <c r="JJ191" s="14"/>
      <c r="JK191" s="14"/>
      <c r="JL191" s="14"/>
      <c r="JM191" s="14"/>
      <c r="JN191" s="14"/>
      <c r="JO191" s="14"/>
      <c r="JP191" s="14"/>
      <c r="JQ191" s="14"/>
      <c r="JR191" s="14"/>
      <c r="JS191" s="14"/>
      <c r="JT191" s="14"/>
      <c r="JU191" s="14"/>
      <c r="JV191" s="14"/>
      <c r="JW191" s="14"/>
      <c r="JX191" s="14"/>
      <c r="JY191" s="14"/>
      <c r="JZ191" s="14"/>
      <c r="KA191" s="14"/>
      <c r="KB191" s="14"/>
      <c r="KC191" s="14"/>
      <c r="KD191" s="14"/>
      <c r="KE191" s="14"/>
      <c r="KF191" s="14"/>
      <c r="KG191" s="14"/>
      <c r="KH191" s="14"/>
      <c r="KI191" s="14"/>
      <c r="KJ191" s="14"/>
      <c r="KK191" s="14"/>
      <c r="KL191" s="14"/>
      <c r="KM191" s="14"/>
      <c r="KN191" s="14"/>
      <c r="KO191" s="14"/>
      <c r="KP191" s="14"/>
      <c r="KQ191" s="14"/>
      <c r="KR191" s="14"/>
      <c r="KS191" s="14"/>
      <c r="KT191" s="14"/>
      <c r="KU191" s="14"/>
      <c r="KV191" s="14"/>
      <c r="KW191" s="14"/>
      <c r="KX191" s="14"/>
      <c r="KY191" s="14"/>
      <c r="KZ191" s="14"/>
      <c r="LA191" s="14"/>
      <c r="LB191" s="14"/>
      <c r="LC191" s="14"/>
      <c r="LD191" s="14"/>
      <c r="LE191" s="14"/>
      <c r="LF191" s="14"/>
      <c r="LG191" s="14"/>
      <c r="LH191" s="14"/>
      <c r="LI191" s="14"/>
      <c r="LJ191" s="14"/>
      <c r="LK191" s="14"/>
      <c r="LL191" s="14"/>
      <c r="LM191" s="14"/>
      <c r="LN191" s="14"/>
      <c r="LO191" s="14"/>
      <c r="LP191" s="14"/>
      <c r="LQ191" s="14"/>
      <c r="LR191" s="14"/>
      <c r="LS191" s="14"/>
      <c r="LT191" s="14"/>
      <c r="LU191" s="14"/>
      <c r="LV191" s="14"/>
      <c r="LW191" s="14"/>
      <c r="LX191" s="14"/>
      <c r="LY191" s="14"/>
      <c r="LZ191" s="14"/>
      <c r="MA191" s="14"/>
      <c r="MB191" s="14"/>
      <c r="MC191" s="14"/>
      <c r="MD191" s="14"/>
      <c r="ME191" s="14"/>
      <c r="MF191" s="14"/>
      <c r="MG191" s="14"/>
      <c r="MH191" s="14"/>
      <c r="MI191" s="14"/>
      <c r="MJ191" s="14"/>
      <c r="MK191" s="14"/>
      <c r="ML191" s="14"/>
      <c r="MM191" s="14"/>
      <c r="MN191" s="14"/>
      <c r="MO191" s="14"/>
      <c r="MP191" s="14"/>
      <c r="MQ191" s="14"/>
      <c r="MR191" s="14"/>
      <c r="MS191" s="14"/>
      <c r="MT191" s="14"/>
      <c r="MU191" s="14"/>
      <c r="MV191" s="14"/>
      <c r="MW191" s="14"/>
      <c r="MX191" s="14"/>
      <c r="MY191" s="14"/>
      <c r="MZ191" s="14"/>
      <c r="NA191" s="14"/>
      <c r="NB191" s="14"/>
      <c r="NC191" s="14"/>
      <c r="ND191" s="14"/>
      <c r="NE191" s="14"/>
      <c r="NF191" s="14"/>
      <c r="NG191" s="14"/>
      <c r="NH191" s="14"/>
      <c r="NI191" s="14"/>
      <c r="NJ191" s="14"/>
      <c r="NK191" s="14"/>
      <c r="NL191" s="14"/>
      <c r="NM191" s="3"/>
      <c r="NN191" s="3"/>
      <c r="NO191" s="3"/>
      <c r="NP191" s="3"/>
      <c r="NQ191" s="3"/>
      <c r="NR191" s="3"/>
      <c r="NS191" s="3"/>
      <c r="NT191" s="3"/>
      <c r="NU191" s="3"/>
      <c r="NV191" s="3"/>
      <c r="NW191" s="3"/>
      <c r="NX191" s="3"/>
      <c r="NY191" s="3"/>
      <c r="NZ191" s="3"/>
      <c r="OA191" s="3"/>
      <c r="OB191" s="3"/>
      <c r="OC191" s="3"/>
      <c r="OD191" s="3"/>
      <c r="OE191" s="3"/>
      <c r="OF191" s="3"/>
    </row>
    <row r="192" ht="13.5" customHeight="1">
      <c r="A192" s="2"/>
      <c r="B192" s="22"/>
      <c r="C192" s="2"/>
      <c r="D192" s="13"/>
      <c r="E192" s="3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4"/>
      <c r="DF192" s="14"/>
      <c r="DG192" s="14"/>
      <c r="DH192" s="14"/>
      <c r="DI192" s="14"/>
      <c r="DJ192" s="14"/>
      <c r="DK192" s="14"/>
      <c r="DL192" s="14"/>
      <c r="DM192" s="14"/>
      <c r="DN192" s="14"/>
      <c r="DO192" s="14"/>
      <c r="DP192" s="14"/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4"/>
      <c r="EJ192" s="14"/>
      <c r="EK192" s="14"/>
      <c r="EL192" s="14"/>
      <c r="EM192" s="14"/>
      <c r="EN192" s="14"/>
      <c r="EO192" s="14"/>
      <c r="EP192" s="14"/>
      <c r="EQ192" s="14"/>
      <c r="ER192" s="14"/>
      <c r="ES192" s="14"/>
      <c r="ET192" s="14"/>
      <c r="EU192" s="14"/>
      <c r="EV192" s="14"/>
      <c r="EW192" s="14"/>
      <c r="EX192" s="14"/>
      <c r="EY192" s="14"/>
      <c r="EZ192" s="14"/>
      <c r="FA192" s="14"/>
      <c r="FB192" s="14"/>
      <c r="FC192" s="14"/>
      <c r="FD192" s="14"/>
      <c r="FE192" s="14"/>
      <c r="FF192" s="14"/>
      <c r="FG192" s="14"/>
      <c r="FH192" s="14"/>
      <c r="FI192" s="14"/>
      <c r="FJ192" s="14"/>
      <c r="FK192" s="14"/>
      <c r="FL192" s="14"/>
      <c r="FM192" s="14"/>
      <c r="FN192" s="14"/>
      <c r="FO192" s="14"/>
      <c r="FP192" s="14"/>
      <c r="FQ192" s="14"/>
      <c r="FR192" s="14"/>
      <c r="FS192" s="14"/>
      <c r="FT192" s="14"/>
      <c r="FU192" s="14"/>
      <c r="FV192" s="14"/>
      <c r="FW192" s="14"/>
      <c r="FX192" s="14"/>
      <c r="FY192" s="14"/>
      <c r="FZ192" s="14"/>
      <c r="GA192" s="14"/>
      <c r="GB192" s="14"/>
      <c r="GC192" s="14"/>
      <c r="GD192" s="14"/>
      <c r="GE192" s="14"/>
      <c r="GF192" s="14"/>
      <c r="GG192" s="14"/>
      <c r="GH192" s="14"/>
      <c r="GI192" s="14"/>
      <c r="GJ192" s="14"/>
      <c r="GK192" s="14"/>
      <c r="GL192" s="14"/>
      <c r="GM192" s="14"/>
      <c r="GN192" s="14"/>
      <c r="GO192" s="14"/>
      <c r="GP192" s="14"/>
      <c r="GQ192" s="14"/>
      <c r="GR192" s="14"/>
      <c r="GS192" s="14"/>
      <c r="GT192" s="14"/>
      <c r="GU192" s="14"/>
      <c r="GV192" s="14"/>
      <c r="GW192" s="14"/>
      <c r="GX192" s="14"/>
      <c r="GY192" s="14"/>
      <c r="GZ192" s="14"/>
      <c r="HA192" s="14"/>
      <c r="HB192" s="14"/>
      <c r="HC192" s="14"/>
      <c r="HD192" s="14"/>
      <c r="HE192" s="14"/>
      <c r="HF192" s="14"/>
      <c r="HG192" s="14"/>
      <c r="HH192" s="14"/>
      <c r="HI192" s="14"/>
      <c r="HJ192" s="14"/>
      <c r="HK192" s="14"/>
      <c r="HL192" s="14"/>
      <c r="HM192" s="14"/>
      <c r="HN192" s="14"/>
      <c r="HO192" s="14"/>
      <c r="HP192" s="14"/>
      <c r="HQ192" s="14"/>
      <c r="HR192" s="14"/>
      <c r="HS192" s="14"/>
      <c r="HT192" s="14"/>
      <c r="HU192" s="14"/>
      <c r="HV192" s="14"/>
      <c r="HW192" s="14"/>
      <c r="HX192" s="14"/>
      <c r="HY192" s="14"/>
      <c r="HZ192" s="14"/>
      <c r="IA192" s="14"/>
      <c r="IB192" s="14"/>
      <c r="IC192" s="14"/>
      <c r="ID192" s="14"/>
      <c r="IE192" s="14"/>
      <c r="IF192" s="14"/>
      <c r="IG192" s="14"/>
      <c r="IH192" s="14"/>
      <c r="II192" s="14"/>
      <c r="IJ192" s="14"/>
      <c r="IK192" s="14"/>
      <c r="IL192" s="14"/>
      <c r="IM192" s="14"/>
      <c r="IN192" s="14"/>
      <c r="IO192" s="14"/>
      <c r="IP192" s="14"/>
      <c r="IQ192" s="14"/>
      <c r="IR192" s="14"/>
      <c r="IS192" s="14"/>
      <c r="IT192" s="14"/>
      <c r="IU192" s="14"/>
      <c r="IV192" s="14"/>
      <c r="IW192" s="14"/>
      <c r="IX192" s="14"/>
      <c r="IY192" s="14"/>
      <c r="IZ192" s="14"/>
      <c r="JA192" s="14"/>
      <c r="JB192" s="14"/>
      <c r="JC192" s="14"/>
      <c r="JD192" s="14"/>
      <c r="JE192" s="14"/>
      <c r="JF192" s="14"/>
      <c r="JG192" s="14"/>
      <c r="JH192" s="14"/>
      <c r="JI192" s="14"/>
      <c r="JJ192" s="14"/>
      <c r="JK192" s="14"/>
      <c r="JL192" s="14"/>
      <c r="JM192" s="14"/>
      <c r="JN192" s="14"/>
      <c r="JO192" s="14"/>
      <c r="JP192" s="14"/>
      <c r="JQ192" s="14"/>
      <c r="JR192" s="14"/>
      <c r="JS192" s="14"/>
      <c r="JT192" s="14"/>
      <c r="JU192" s="14"/>
      <c r="JV192" s="14"/>
      <c r="JW192" s="14"/>
      <c r="JX192" s="14"/>
      <c r="JY192" s="14"/>
      <c r="JZ192" s="14"/>
      <c r="KA192" s="14"/>
      <c r="KB192" s="14"/>
      <c r="KC192" s="14"/>
      <c r="KD192" s="14"/>
      <c r="KE192" s="14"/>
      <c r="KF192" s="14"/>
      <c r="KG192" s="14"/>
      <c r="KH192" s="14"/>
      <c r="KI192" s="14"/>
      <c r="KJ192" s="14"/>
      <c r="KK192" s="14"/>
      <c r="KL192" s="14"/>
      <c r="KM192" s="14"/>
      <c r="KN192" s="14"/>
      <c r="KO192" s="14"/>
      <c r="KP192" s="14"/>
      <c r="KQ192" s="14"/>
      <c r="KR192" s="14"/>
      <c r="KS192" s="14"/>
      <c r="KT192" s="14"/>
      <c r="KU192" s="14"/>
      <c r="KV192" s="14"/>
      <c r="KW192" s="14"/>
      <c r="KX192" s="14"/>
      <c r="KY192" s="14"/>
      <c r="KZ192" s="14"/>
      <c r="LA192" s="14"/>
      <c r="LB192" s="14"/>
      <c r="LC192" s="14"/>
      <c r="LD192" s="14"/>
      <c r="LE192" s="14"/>
      <c r="LF192" s="14"/>
      <c r="LG192" s="14"/>
      <c r="LH192" s="14"/>
      <c r="LI192" s="14"/>
      <c r="LJ192" s="14"/>
      <c r="LK192" s="14"/>
      <c r="LL192" s="14"/>
      <c r="LM192" s="14"/>
      <c r="LN192" s="14"/>
      <c r="LO192" s="14"/>
      <c r="LP192" s="14"/>
      <c r="LQ192" s="14"/>
      <c r="LR192" s="14"/>
      <c r="LS192" s="14"/>
      <c r="LT192" s="14"/>
      <c r="LU192" s="14"/>
      <c r="LV192" s="14"/>
      <c r="LW192" s="14"/>
      <c r="LX192" s="14"/>
      <c r="LY192" s="14"/>
      <c r="LZ192" s="14"/>
      <c r="MA192" s="14"/>
      <c r="MB192" s="14"/>
      <c r="MC192" s="14"/>
      <c r="MD192" s="14"/>
      <c r="ME192" s="14"/>
      <c r="MF192" s="14"/>
      <c r="MG192" s="14"/>
      <c r="MH192" s="14"/>
      <c r="MI192" s="14"/>
      <c r="MJ192" s="14"/>
      <c r="MK192" s="14"/>
      <c r="ML192" s="14"/>
      <c r="MM192" s="14"/>
      <c r="MN192" s="14"/>
      <c r="MO192" s="14"/>
      <c r="MP192" s="14"/>
      <c r="MQ192" s="14"/>
      <c r="MR192" s="14"/>
      <c r="MS192" s="14"/>
      <c r="MT192" s="14"/>
      <c r="MU192" s="14"/>
      <c r="MV192" s="14"/>
      <c r="MW192" s="14"/>
      <c r="MX192" s="14"/>
      <c r="MY192" s="14"/>
      <c r="MZ192" s="14"/>
      <c r="NA192" s="14"/>
      <c r="NB192" s="14"/>
      <c r="NC192" s="14"/>
      <c r="ND192" s="14"/>
      <c r="NE192" s="14"/>
      <c r="NF192" s="14"/>
      <c r="NG192" s="14"/>
      <c r="NH192" s="14"/>
      <c r="NI192" s="14"/>
      <c r="NJ192" s="14"/>
      <c r="NK192" s="14"/>
      <c r="NL192" s="14"/>
      <c r="NM192" s="3"/>
      <c r="NN192" s="3"/>
      <c r="NO192" s="3"/>
      <c r="NP192" s="3"/>
      <c r="NQ192" s="3"/>
      <c r="NR192" s="3"/>
      <c r="NS192" s="3"/>
      <c r="NT192" s="3"/>
      <c r="NU192" s="3"/>
      <c r="NV192" s="3"/>
      <c r="NW192" s="3"/>
      <c r="NX192" s="3"/>
      <c r="NY192" s="3"/>
      <c r="NZ192" s="3"/>
      <c r="OA192" s="3"/>
      <c r="OB192" s="3"/>
      <c r="OC192" s="3"/>
      <c r="OD192" s="3"/>
      <c r="OE192" s="3"/>
      <c r="OF192" s="3"/>
    </row>
    <row r="193" ht="13.5" customHeight="1">
      <c r="A193" s="2"/>
      <c r="B193" s="22"/>
      <c r="C193" s="2"/>
      <c r="D193" s="13"/>
      <c r="E193" s="3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4"/>
      <c r="DF193" s="14"/>
      <c r="DG193" s="14"/>
      <c r="DH193" s="14"/>
      <c r="DI193" s="14"/>
      <c r="DJ193" s="14"/>
      <c r="DK193" s="14"/>
      <c r="DL193" s="14"/>
      <c r="DM193" s="14"/>
      <c r="DN193" s="14"/>
      <c r="DO193" s="14"/>
      <c r="DP193" s="14"/>
      <c r="DQ193" s="14"/>
      <c r="DR193" s="14"/>
      <c r="DS193" s="14"/>
      <c r="DT193" s="14"/>
      <c r="DU193" s="14"/>
      <c r="DV193" s="14"/>
      <c r="DW193" s="14"/>
      <c r="DX193" s="14"/>
      <c r="DY193" s="14"/>
      <c r="DZ193" s="14"/>
      <c r="EA193" s="14"/>
      <c r="EB193" s="14"/>
      <c r="EC193" s="14"/>
      <c r="ED193" s="14"/>
      <c r="EE193" s="14"/>
      <c r="EF193" s="14"/>
      <c r="EG193" s="14"/>
      <c r="EH193" s="14"/>
      <c r="EI193" s="14"/>
      <c r="EJ193" s="14"/>
      <c r="EK193" s="14"/>
      <c r="EL193" s="14"/>
      <c r="EM193" s="14"/>
      <c r="EN193" s="14"/>
      <c r="EO193" s="14"/>
      <c r="EP193" s="14"/>
      <c r="EQ193" s="14"/>
      <c r="ER193" s="14"/>
      <c r="ES193" s="14"/>
      <c r="ET193" s="14"/>
      <c r="EU193" s="14"/>
      <c r="EV193" s="14"/>
      <c r="EW193" s="14"/>
      <c r="EX193" s="14"/>
      <c r="EY193" s="14"/>
      <c r="EZ193" s="14"/>
      <c r="FA193" s="14"/>
      <c r="FB193" s="14"/>
      <c r="FC193" s="14"/>
      <c r="FD193" s="14"/>
      <c r="FE193" s="14"/>
      <c r="FF193" s="14"/>
      <c r="FG193" s="14"/>
      <c r="FH193" s="14"/>
      <c r="FI193" s="14"/>
      <c r="FJ193" s="14"/>
      <c r="FK193" s="14"/>
      <c r="FL193" s="14"/>
      <c r="FM193" s="14"/>
      <c r="FN193" s="14"/>
      <c r="FO193" s="14"/>
      <c r="FP193" s="14"/>
      <c r="FQ193" s="14"/>
      <c r="FR193" s="14"/>
      <c r="FS193" s="14"/>
      <c r="FT193" s="14"/>
      <c r="FU193" s="14"/>
      <c r="FV193" s="14"/>
      <c r="FW193" s="14"/>
      <c r="FX193" s="14"/>
      <c r="FY193" s="14"/>
      <c r="FZ193" s="14"/>
      <c r="GA193" s="14"/>
      <c r="GB193" s="14"/>
      <c r="GC193" s="14"/>
      <c r="GD193" s="14"/>
      <c r="GE193" s="14"/>
      <c r="GF193" s="14"/>
      <c r="GG193" s="14"/>
      <c r="GH193" s="14"/>
      <c r="GI193" s="14"/>
      <c r="GJ193" s="14"/>
      <c r="GK193" s="14"/>
      <c r="GL193" s="14"/>
      <c r="GM193" s="14"/>
      <c r="GN193" s="14"/>
      <c r="GO193" s="14"/>
      <c r="GP193" s="14"/>
      <c r="GQ193" s="14"/>
      <c r="GR193" s="14"/>
      <c r="GS193" s="14"/>
      <c r="GT193" s="14"/>
      <c r="GU193" s="14"/>
      <c r="GV193" s="14"/>
      <c r="GW193" s="14"/>
      <c r="GX193" s="14"/>
      <c r="GY193" s="14"/>
      <c r="GZ193" s="14"/>
      <c r="HA193" s="14"/>
      <c r="HB193" s="14"/>
      <c r="HC193" s="14"/>
      <c r="HD193" s="14"/>
      <c r="HE193" s="14"/>
      <c r="HF193" s="14"/>
      <c r="HG193" s="14"/>
      <c r="HH193" s="14"/>
      <c r="HI193" s="14"/>
      <c r="HJ193" s="14"/>
      <c r="HK193" s="14"/>
      <c r="HL193" s="14"/>
      <c r="HM193" s="14"/>
      <c r="HN193" s="14"/>
      <c r="HO193" s="14"/>
      <c r="HP193" s="14"/>
      <c r="HQ193" s="14"/>
      <c r="HR193" s="14"/>
      <c r="HS193" s="14"/>
      <c r="HT193" s="14"/>
      <c r="HU193" s="14"/>
      <c r="HV193" s="14"/>
      <c r="HW193" s="14"/>
      <c r="HX193" s="14"/>
      <c r="HY193" s="14"/>
      <c r="HZ193" s="14"/>
      <c r="IA193" s="14"/>
      <c r="IB193" s="14"/>
      <c r="IC193" s="14"/>
      <c r="ID193" s="14"/>
      <c r="IE193" s="14"/>
      <c r="IF193" s="14"/>
      <c r="IG193" s="14"/>
      <c r="IH193" s="14"/>
      <c r="II193" s="14"/>
      <c r="IJ193" s="14"/>
      <c r="IK193" s="14"/>
      <c r="IL193" s="14"/>
      <c r="IM193" s="14"/>
      <c r="IN193" s="14"/>
      <c r="IO193" s="14"/>
      <c r="IP193" s="14"/>
      <c r="IQ193" s="14"/>
      <c r="IR193" s="14"/>
      <c r="IS193" s="14"/>
      <c r="IT193" s="14"/>
      <c r="IU193" s="14"/>
      <c r="IV193" s="14"/>
      <c r="IW193" s="14"/>
      <c r="IX193" s="14"/>
      <c r="IY193" s="14"/>
      <c r="IZ193" s="14"/>
      <c r="JA193" s="14"/>
      <c r="JB193" s="14"/>
      <c r="JC193" s="14"/>
      <c r="JD193" s="14"/>
      <c r="JE193" s="14"/>
      <c r="JF193" s="14"/>
      <c r="JG193" s="14"/>
      <c r="JH193" s="14"/>
      <c r="JI193" s="14"/>
      <c r="JJ193" s="14"/>
      <c r="JK193" s="14"/>
      <c r="JL193" s="14"/>
      <c r="JM193" s="14"/>
      <c r="JN193" s="14"/>
      <c r="JO193" s="14"/>
      <c r="JP193" s="14"/>
      <c r="JQ193" s="14"/>
      <c r="JR193" s="14"/>
      <c r="JS193" s="14"/>
      <c r="JT193" s="14"/>
      <c r="JU193" s="14"/>
      <c r="JV193" s="14"/>
      <c r="JW193" s="14"/>
      <c r="JX193" s="14"/>
      <c r="JY193" s="14"/>
      <c r="JZ193" s="14"/>
      <c r="KA193" s="14"/>
      <c r="KB193" s="14"/>
      <c r="KC193" s="14"/>
      <c r="KD193" s="14"/>
      <c r="KE193" s="14"/>
      <c r="KF193" s="14"/>
      <c r="KG193" s="14"/>
      <c r="KH193" s="14"/>
      <c r="KI193" s="14"/>
      <c r="KJ193" s="14"/>
      <c r="KK193" s="14"/>
      <c r="KL193" s="14"/>
      <c r="KM193" s="14"/>
      <c r="KN193" s="14"/>
      <c r="KO193" s="14"/>
      <c r="KP193" s="14"/>
      <c r="KQ193" s="14"/>
      <c r="KR193" s="14"/>
      <c r="KS193" s="14"/>
      <c r="KT193" s="14"/>
      <c r="KU193" s="14"/>
      <c r="KV193" s="14"/>
      <c r="KW193" s="14"/>
      <c r="KX193" s="14"/>
      <c r="KY193" s="14"/>
      <c r="KZ193" s="14"/>
      <c r="LA193" s="14"/>
      <c r="LB193" s="14"/>
      <c r="LC193" s="14"/>
      <c r="LD193" s="14"/>
      <c r="LE193" s="14"/>
      <c r="LF193" s="14"/>
      <c r="LG193" s="14"/>
      <c r="LH193" s="14"/>
      <c r="LI193" s="14"/>
      <c r="LJ193" s="14"/>
      <c r="LK193" s="14"/>
      <c r="LL193" s="14"/>
      <c r="LM193" s="14"/>
      <c r="LN193" s="14"/>
      <c r="LO193" s="14"/>
      <c r="LP193" s="14"/>
      <c r="LQ193" s="14"/>
      <c r="LR193" s="14"/>
      <c r="LS193" s="14"/>
      <c r="LT193" s="14"/>
      <c r="LU193" s="14"/>
      <c r="LV193" s="14"/>
      <c r="LW193" s="14"/>
      <c r="LX193" s="14"/>
      <c r="LY193" s="14"/>
      <c r="LZ193" s="14"/>
      <c r="MA193" s="14"/>
      <c r="MB193" s="14"/>
      <c r="MC193" s="14"/>
      <c r="MD193" s="14"/>
      <c r="ME193" s="14"/>
      <c r="MF193" s="14"/>
      <c r="MG193" s="14"/>
      <c r="MH193" s="14"/>
      <c r="MI193" s="14"/>
      <c r="MJ193" s="14"/>
      <c r="MK193" s="14"/>
      <c r="ML193" s="14"/>
      <c r="MM193" s="14"/>
      <c r="MN193" s="14"/>
      <c r="MO193" s="14"/>
      <c r="MP193" s="14"/>
      <c r="MQ193" s="14"/>
      <c r="MR193" s="14"/>
      <c r="MS193" s="14"/>
      <c r="MT193" s="14"/>
      <c r="MU193" s="14"/>
      <c r="MV193" s="14"/>
      <c r="MW193" s="14"/>
      <c r="MX193" s="14"/>
      <c r="MY193" s="14"/>
      <c r="MZ193" s="14"/>
      <c r="NA193" s="14"/>
      <c r="NB193" s="14"/>
      <c r="NC193" s="14"/>
      <c r="ND193" s="14"/>
      <c r="NE193" s="14"/>
      <c r="NF193" s="14"/>
      <c r="NG193" s="14"/>
      <c r="NH193" s="14"/>
      <c r="NI193" s="14"/>
      <c r="NJ193" s="14"/>
      <c r="NK193" s="14"/>
      <c r="NL193" s="14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</row>
    <row r="194" ht="13.5" customHeight="1">
      <c r="A194" s="2"/>
      <c r="B194" s="22"/>
      <c r="C194" s="2"/>
      <c r="D194" s="13"/>
      <c r="E194" s="3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4"/>
      <c r="DF194" s="14"/>
      <c r="DG194" s="14"/>
      <c r="DH194" s="14"/>
      <c r="DI194" s="14"/>
      <c r="DJ194" s="14"/>
      <c r="DK194" s="14"/>
      <c r="DL194" s="14"/>
      <c r="DM194" s="14"/>
      <c r="DN194" s="14"/>
      <c r="DO194" s="14"/>
      <c r="DP194" s="14"/>
      <c r="DQ194" s="14"/>
      <c r="DR194" s="14"/>
      <c r="DS194" s="14"/>
      <c r="DT194" s="14"/>
      <c r="DU194" s="14"/>
      <c r="DV194" s="14"/>
      <c r="DW194" s="14"/>
      <c r="DX194" s="14"/>
      <c r="DY194" s="14"/>
      <c r="DZ194" s="14"/>
      <c r="EA194" s="14"/>
      <c r="EB194" s="14"/>
      <c r="EC194" s="14"/>
      <c r="ED194" s="14"/>
      <c r="EE194" s="14"/>
      <c r="EF194" s="14"/>
      <c r="EG194" s="14"/>
      <c r="EH194" s="14"/>
      <c r="EI194" s="14"/>
      <c r="EJ194" s="14"/>
      <c r="EK194" s="14"/>
      <c r="EL194" s="14"/>
      <c r="EM194" s="14"/>
      <c r="EN194" s="14"/>
      <c r="EO194" s="14"/>
      <c r="EP194" s="14"/>
      <c r="EQ194" s="14"/>
      <c r="ER194" s="14"/>
      <c r="ES194" s="14"/>
      <c r="ET194" s="14"/>
      <c r="EU194" s="14"/>
      <c r="EV194" s="14"/>
      <c r="EW194" s="14"/>
      <c r="EX194" s="14"/>
      <c r="EY194" s="14"/>
      <c r="EZ194" s="14"/>
      <c r="FA194" s="14"/>
      <c r="FB194" s="14"/>
      <c r="FC194" s="14"/>
      <c r="FD194" s="14"/>
      <c r="FE194" s="14"/>
      <c r="FF194" s="14"/>
      <c r="FG194" s="14"/>
      <c r="FH194" s="14"/>
      <c r="FI194" s="14"/>
      <c r="FJ194" s="14"/>
      <c r="FK194" s="14"/>
      <c r="FL194" s="14"/>
      <c r="FM194" s="14"/>
      <c r="FN194" s="14"/>
      <c r="FO194" s="14"/>
      <c r="FP194" s="14"/>
      <c r="FQ194" s="14"/>
      <c r="FR194" s="14"/>
      <c r="FS194" s="14"/>
      <c r="FT194" s="14"/>
      <c r="FU194" s="14"/>
      <c r="FV194" s="14"/>
      <c r="FW194" s="14"/>
      <c r="FX194" s="14"/>
      <c r="FY194" s="14"/>
      <c r="FZ194" s="14"/>
      <c r="GA194" s="14"/>
      <c r="GB194" s="14"/>
      <c r="GC194" s="14"/>
      <c r="GD194" s="14"/>
      <c r="GE194" s="14"/>
      <c r="GF194" s="14"/>
      <c r="GG194" s="14"/>
      <c r="GH194" s="14"/>
      <c r="GI194" s="14"/>
      <c r="GJ194" s="14"/>
      <c r="GK194" s="14"/>
      <c r="GL194" s="14"/>
      <c r="GM194" s="14"/>
      <c r="GN194" s="14"/>
      <c r="GO194" s="14"/>
      <c r="GP194" s="14"/>
      <c r="GQ194" s="14"/>
      <c r="GR194" s="14"/>
      <c r="GS194" s="14"/>
      <c r="GT194" s="14"/>
      <c r="GU194" s="14"/>
      <c r="GV194" s="14"/>
      <c r="GW194" s="14"/>
      <c r="GX194" s="14"/>
      <c r="GY194" s="14"/>
      <c r="GZ194" s="14"/>
      <c r="HA194" s="14"/>
      <c r="HB194" s="14"/>
      <c r="HC194" s="14"/>
      <c r="HD194" s="14"/>
      <c r="HE194" s="14"/>
      <c r="HF194" s="14"/>
      <c r="HG194" s="14"/>
      <c r="HH194" s="14"/>
      <c r="HI194" s="14"/>
      <c r="HJ194" s="14"/>
      <c r="HK194" s="14"/>
      <c r="HL194" s="14"/>
      <c r="HM194" s="14"/>
      <c r="HN194" s="14"/>
      <c r="HO194" s="14"/>
      <c r="HP194" s="14"/>
      <c r="HQ194" s="14"/>
      <c r="HR194" s="14"/>
      <c r="HS194" s="14"/>
      <c r="HT194" s="14"/>
      <c r="HU194" s="14"/>
      <c r="HV194" s="14"/>
      <c r="HW194" s="14"/>
      <c r="HX194" s="14"/>
      <c r="HY194" s="14"/>
      <c r="HZ194" s="14"/>
      <c r="IA194" s="14"/>
      <c r="IB194" s="14"/>
      <c r="IC194" s="14"/>
      <c r="ID194" s="14"/>
      <c r="IE194" s="14"/>
      <c r="IF194" s="14"/>
      <c r="IG194" s="14"/>
      <c r="IH194" s="14"/>
      <c r="II194" s="14"/>
      <c r="IJ194" s="14"/>
      <c r="IK194" s="14"/>
      <c r="IL194" s="14"/>
      <c r="IM194" s="14"/>
      <c r="IN194" s="14"/>
      <c r="IO194" s="14"/>
      <c r="IP194" s="14"/>
      <c r="IQ194" s="14"/>
      <c r="IR194" s="14"/>
      <c r="IS194" s="14"/>
      <c r="IT194" s="14"/>
      <c r="IU194" s="14"/>
      <c r="IV194" s="14"/>
      <c r="IW194" s="14"/>
      <c r="IX194" s="14"/>
      <c r="IY194" s="14"/>
      <c r="IZ194" s="14"/>
      <c r="JA194" s="14"/>
      <c r="JB194" s="14"/>
      <c r="JC194" s="14"/>
      <c r="JD194" s="14"/>
      <c r="JE194" s="14"/>
      <c r="JF194" s="14"/>
      <c r="JG194" s="14"/>
      <c r="JH194" s="14"/>
      <c r="JI194" s="14"/>
      <c r="JJ194" s="14"/>
      <c r="JK194" s="14"/>
      <c r="JL194" s="14"/>
      <c r="JM194" s="14"/>
      <c r="JN194" s="14"/>
      <c r="JO194" s="14"/>
      <c r="JP194" s="14"/>
      <c r="JQ194" s="14"/>
      <c r="JR194" s="14"/>
      <c r="JS194" s="14"/>
      <c r="JT194" s="14"/>
      <c r="JU194" s="14"/>
      <c r="JV194" s="14"/>
      <c r="JW194" s="14"/>
      <c r="JX194" s="14"/>
      <c r="JY194" s="14"/>
      <c r="JZ194" s="14"/>
      <c r="KA194" s="14"/>
      <c r="KB194" s="14"/>
      <c r="KC194" s="14"/>
      <c r="KD194" s="14"/>
      <c r="KE194" s="14"/>
      <c r="KF194" s="14"/>
      <c r="KG194" s="14"/>
      <c r="KH194" s="14"/>
      <c r="KI194" s="14"/>
      <c r="KJ194" s="14"/>
      <c r="KK194" s="14"/>
      <c r="KL194" s="14"/>
      <c r="KM194" s="14"/>
      <c r="KN194" s="14"/>
      <c r="KO194" s="14"/>
      <c r="KP194" s="14"/>
      <c r="KQ194" s="14"/>
      <c r="KR194" s="14"/>
      <c r="KS194" s="14"/>
      <c r="KT194" s="14"/>
      <c r="KU194" s="14"/>
      <c r="KV194" s="14"/>
      <c r="KW194" s="14"/>
      <c r="KX194" s="14"/>
      <c r="KY194" s="14"/>
      <c r="KZ194" s="14"/>
      <c r="LA194" s="14"/>
      <c r="LB194" s="14"/>
      <c r="LC194" s="14"/>
      <c r="LD194" s="14"/>
      <c r="LE194" s="14"/>
      <c r="LF194" s="14"/>
      <c r="LG194" s="14"/>
      <c r="LH194" s="14"/>
      <c r="LI194" s="14"/>
      <c r="LJ194" s="14"/>
      <c r="LK194" s="14"/>
      <c r="LL194" s="14"/>
      <c r="LM194" s="14"/>
      <c r="LN194" s="14"/>
      <c r="LO194" s="14"/>
      <c r="LP194" s="14"/>
      <c r="LQ194" s="14"/>
      <c r="LR194" s="14"/>
      <c r="LS194" s="14"/>
      <c r="LT194" s="14"/>
      <c r="LU194" s="14"/>
      <c r="LV194" s="14"/>
      <c r="LW194" s="14"/>
      <c r="LX194" s="14"/>
      <c r="LY194" s="14"/>
      <c r="LZ194" s="14"/>
      <c r="MA194" s="14"/>
      <c r="MB194" s="14"/>
      <c r="MC194" s="14"/>
      <c r="MD194" s="14"/>
      <c r="ME194" s="14"/>
      <c r="MF194" s="14"/>
      <c r="MG194" s="14"/>
      <c r="MH194" s="14"/>
      <c r="MI194" s="14"/>
      <c r="MJ194" s="14"/>
      <c r="MK194" s="14"/>
      <c r="ML194" s="14"/>
      <c r="MM194" s="14"/>
      <c r="MN194" s="14"/>
      <c r="MO194" s="14"/>
      <c r="MP194" s="14"/>
      <c r="MQ194" s="14"/>
      <c r="MR194" s="14"/>
      <c r="MS194" s="14"/>
      <c r="MT194" s="14"/>
      <c r="MU194" s="14"/>
      <c r="MV194" s="14"/>
      <c r="MW194" s="14"/>
      <c r="MX194" s="14"/>
      <c r="MY194" s="14"/>
      <c r="MZ194" s="14"/>
      <c r="NA194" s="14"/>
      <c r="NB194" s="14"/>
      <c r="NC194" s="14"/>
      <c r="ND194" s="14"/>
      <c r="NE194" s="14"/>
      <c r="NF194" s="14"/>
      <c r="NG194" s="14"/>
      <c r="NH194" s="14"/>
      <c r="NI194" s="14"/>
      <c r="NJ194" s="14"/>
      <c r="NK194" s="14"/>
      <c r="NL194" s="14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</row>
    <row r="195" ht="13.5" customHeight="1">
      <c r="A195" s="2"/>
      <c r="B195" s="22"/>
      <c r="C195" s="2"/>
      <c r="D195" s="13"/>
      <c r="E195" s="3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4"/>
      <c r="DJ195" s="14"/>
      <c r="DK195" s="14"/>
      <c r="DL195" s="14"/>
      <c r="DM195" s="14"/>
      <c r="DN195" s="14"/>
      <c r="DO195" s="14"/>
      <c r="DP195" s="14"/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4"/>
      <c r="EJ195" s="14"/>
      <c r="EK195" s="14"/>
      <c r="EL195" s="14"/>
      <c r="EM195" s="14"/>
      <c r="EN195" s="14"/>
      <c r="EO195" s="14"/>
      <c r="EP195" s="14"/>
      <c r="EQ195" s="14"/>
      <c r="ER195" s="14"/>
      <c r="ES195" s="14"/>
      <c r="ET195" s="14"/>
      <c r="EU195" s="14"/>
      <c r="EV195" s="14"/>
      <c r="EW195" s="14"/>
      <c r="EX195" s="14"/>
      <c r="EY195" s="14"/>
      <c r="EZ195" s="14"/>
      <c r="FA195" s="14"/>
      <c r="FB195" s="14"/>
      <c r="FC195" s="14"/>
      <c r="FD195" s="14"/>
      <c r="FE195" s="14"/>
      <c r="FF195" s="14"/>
      <c r="FG195" s="14"/>
      <c r="FH195" s="14"/>
      <c r="FI195" s="14"/>
      <c r="FJ195" s="14"/>
      <c r="FK195" s="14"/>
      <c r="FL195" s="14"/>
      <c r="FM195" s="14"/>
      <c r="FN195" s="14"/>
      <c r="FO195" s="14"/>
      <c r="FP195" s="14"/>
      <c r="FQ195" s="14"/>
      <c r="FR195" s="14"/>
      <c r="FS195" s="14"/>
      <c r="FT195" s="14"/>
      <c r="FU195" s="14"/>
      <c r="FV195" s="14"/>
      <c r="FW195" s="14"/>
      <c r="FX195" s="14"/>
      <c r="FY195" s="14"/>
      <c r="FZ195" s="14"/>
      <c r="GA195" s="14"/>
      <c r="GB195" s="14"/>
      <c r="GC195" s="14"/>
      <c r="GD195" s="14"/>
      <c r="GE195" s="14"/>
      <c r="GF195" s="14"/>
      <c r="GG195" s="14"/>
      <c r="GH195" s="14"/>
      <c r="GI195" s="14"/>
      <c r="GJ195" s="14"/>
      <c r="GK195" s="14"/>
      <c r="GL195" s="14"/>
      <c r="GM195" s="14"/>
      <c r="GN195" s="14"/>
      <c r="GO195" s="14"/>
      <c r="GP195" s="14"/>
      <c r="GQ195" s="14"/>
      <c r="GR195" s="14"/>
      <c r="GS195" s="14"/>
      <c r="GT195" s="14"/>
      <c r="GU195" s="14"/>
      <c r="GV195" s="14"/>
      <c r="GW195" s="14"/>
      <c r="GX195" s="14"/>
      <c r="GY195" s="14"/>
      <c r="GZ195" s="14"/>
      <c r="HA195" s="14"/>
      <c r="HB195" s="14"/>
      <c r="HC195" s="14"/>
      <c r="HD195" s="14"/>
      <c r="HE195" s="14"/>
      <c r="HF195" s="14"/>
      <c r="HG195" s="14"/>
      <c r="HH195" s="14"/>
      <c r="HI195" s="14"/>
      <c r="HJ195" s="14"/>
      <c r="HK195" s="14"/>
      <c r="HL195" s="14"/>
      <c r="HM195" s="14"/>
      <c r="HN195" s="14"/>
      <c r="HO195" s="14"/>
      <c r="HP195" s="14"/>
      <c r="HQ195" s="14"/>
      <c r="HR195" s="14"/>
      <c r="HS195" s="14"/>
      <c r="HT195" s="14"/>
      <c r="HU195" s="14"/>
      <c r="HV195" s="14"/>
      <c r="HW195" s="14"/>
      <c r="HX195" s="14"/>
      <c r="HY195" s="14"/>
      <c r="HZ195" s="14"/>
      <c r="IA195" s="14"/>
      <c r="IB195" s="14"/>
      <c r="IC195" s="14"/>
      <c r="ID195" s="14"/>
      <c r="IE195" s="14"/>
      <c r="IF195" s="14"/>
      <c r="IG195" s="14"/>
      <c r="IH195" s="14"/>
      <c r="II195" s="14"/>
      <c r="IJ195" s="14"/>
      <c r="IK195" s="14"/>
      <c r="IL195" s="14"/>
      <c r="IM195" s="14"/>
      <c r="IN195" s="14"/>
      <c r="IO195" s="14"/>
      <c r="IP195" s="14"/>
      <c r="IQ195" s="14"/>
      <c r="IR195" s="14"/>
      <c r="IS195" s="14"/>
      <c r="IT195" s="14"/>
      <c r="IU195" s="14"/>
      <c r="IV195" s="14"/>
      <c r="IW195" s="14"/>
      <c r="IX195" s="14"/>
      <c r="IY195" s="14"/>
      <c r="IZ195" s="14"/>
      <c r="JA195" s="14"/>
      <c r="JB195" s="14"/>
      <c r="JC195" s="14"/>
      <c r="JD195" s="14"/>
      <c r="JE195" s="14"/>
      <c r="JF195" s="14"/>
      <c r="JG195" s="14"/>
      <c r="JH195" s="14"/>
      <c r="JI195" s="14"/>
      <c r="JJ195" s="14"/>
      <c r="JK195" s="14"/>
      <c r="JL195" s="14"/>
      <c r="JM195" s="14"/>
      <c r="JN195" s="14"/>
      <c r="JO195" s="14"/>
      <c r="JP195" s="14"/>
      <c r="JQ195" s="14"/>
      <c r="JR195" s="14"/>
      <c r="JS195" s="14"/>
      <c r="JT195" s="14"/>
      <c r="JU195" s="14"/>
      <c r="JV195" s="14"/>
      <c r="JW195" s="14"/>
      <c r="JX195" s="14"/>
      <c r="JY195" s="14"/>
      <c r="JZ195" s="14"/>
      <c r="KA195" s="14"/>
      <c r="KB195" s="14"/>
      <c r="KC195" s="14"/>
      <c r="KD195" s="14"/>
      <c r="KE195" s="14"/>
      <c r="KF195" s="14"/>
      <c r="KG195" s="14"/>
      <c r="KH195" s="14"/>
      <c r="KI195" s="14"/>
      <c r="KJ195" s="14"/>
      <c r="KK195" s="14"/>
      <c r="KL195" s="14"/>
      <c r="KM195" s="14"/>
      <c r="KN195" s="14"/>
      <c r="KO195" s="14"/>
      <c r="KP195" s="14"/>
      <c r="KQ195" s="14"/>
      <c r="KR195" s="14"/>
      <c r="KS195" s="14"/>
      <c r="KT195" s="14"/>
      <c r="KU195" s="14"/>
      <c r="KV195" s="14"/>
      <c r="KW195" s="14"/>
      <c r="KX195" s="14"/>
      <c r="KY195" s="14"/>
      <c r="KZ195" s="14"/>
      <c r="LA195" s="14"/>
      <c r="LB195" s="14"/>
      <c r="LC195" s="14"/>
      <c r="LD195" s="14"/>
      <c r="LE195" s="14"/>
      <c r="LF195" s="14"/>
      <c r="LG195" s="14"/>
      <c r="LH195" s="14"/>
      <c r="LI195" s="14"/>
      <c r="LJ195" s="14"/>
      <c r="LK195" s="14"/>
      <c r="LL195" s="14"/>
      <c r="LM195" s="14"/>
      <c r="LN195" s="14"/>
      <c r="LO195" s="14"/>
      <c r="LP195" s="14"/>
      <c r="LQ195" s="14"/>
      <c r="LR195" s="14"/>
      <c r="LS195" s="14"/>
      <c r="LT195" s="14"/>
      <c r="LU195" s="14"/>
      <c r="LV195" s="14"/>
      <c r="LW195" s="14"/>
      <c r="LX195" s="14"/>
      <c r="LY195" s="14"/>
      <c r="LZ195" s="14"/>
      <c r="MA195" s="14"/>
      <c r="MB195" s="14"/>
      <c r="MC195" s="14"/>
      <c r="MD195" s="14"/>
      <c r="ME195" s="14"/>
      <c r="MF195" s="14"/>
      <c r="MG195" s="14"/>
      <c r="MH195" s="14"/>
      <c r="MI195" s="14"/>
      <c r="MJ195" s="14"/>
      <c r="MK195" s="14"/>
      <c r="ML195" s="14"/>
      <c r="MM195" s="14"/>
      <c r="MN195" s="14"/>
      <c r="MO195" s="14"/>
      <c r="MP195" s="14"/>
      <c r="MQ195" s="14"/>
      <c r="MR195" s="14"/>
      <c r="MS195" s="14"/>
      <c r="MT195" s="14"/>
      <c r="MU195" s="14"/>
      <c r="MV195" s="14"/>
      <c r="MW195" s="14"/>
      <c r="MX195" s="14"/>
      <c r="MY195" s="14"/>
      <c r="MZ195" s="14"/>
      <c r="NA195" s="14"/>
      <c r="NB195" s="14"/>
      <c r="NC195" s="14"/>
      <c r="ND195" s="14"/>
      <c r="NE195" s="14"/>
      <c r="NF195" s="14"/>
      <c r="NG195" s="14"/>
      <c r="NH195" s="14"/>
      <c r="NI195" s="14"/>
      <c r="NJ195" s="14"/>
      <c r="NK195" s="14"/>
      <c r="NL195" s="14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</row>
    <row r="196" ht="13.5" customHeight="1">
      <c r="A196" s="2"/>
      <c r="B196" s="22"/>
      <c r="C196" s="2"/>
      <c r="D196" s="13"/>
      <c r="E196" s="3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  <c r="DM196" s="14"/>
      <c r="DN196" s="14"/>
      <c r="DO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4"/>
      <c r="EJ196" s="14"/>
      <c r="EK196" s="14"/>
      <c r="EL196" s="14"/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4"/>
      <c r="FJ196" s="14"/>
      <c r="FK196" s="14"/>
      <c r="FL196" s="14"/>
      <c r="FM196" s="14"/>
      <c r="FN196" s="14"/>
      <c r="FO196" s="14"/>
      <c r="FP196" s="14"/>
      <c r="FQ196" s="14"/>
      <c r="FR196" s="14"/>
      <c r="FS196" s="14"/>
      <c r="FT196" s="14"/>
      <c r="FU196" s="14"/>
      <c r="FV196" s="14"/>
      <c r="FW196" s="14"/>
      <c r="FX196" s="14"/>
      <c r="FY196" s="14"/>
      <c r="FZ196" s="14"/>
      <c r="GA196" s="14"/>
      <c r="GB196" s="14"/>
      <c r="GC196" s="14"/>
      <c r="GD196" s="14"/>
      <c r="GE196" s="14"/>
      <c r="GF196" s="14"/>
      <c r="GG196" s="14"/>
      <c r="GH196" s="14"/>
      <c r="GI196" s="14"/>
      <c r="GJ196" s="14"/>
      <c r="GK196" s="14"/>
      <c r="GL196" s="14"/>
      <c r="GM196" s="14"/>
      <c r="GN196" s="14"/>
      <c r="GO196" s="14"/>
      <c r="GP196" s="14"/>
      <c r="GQ196" s="14"/>
      <c r="GR196" s="14"/>
      <c r="GS196" s="14"/>
      <c r="GT196" s="14"/>
      <c r="GU196" s="14"/>
      <c r="GV196" s="14"/>
      <c r="GW196" s="14"/>
      <c r="GX196" s="14"/>
      <c r="GY196" s="14"/>
      <c r="GZ196" s="14"/>
      <c r="HA196" s="14"/>
      <c r="HB196" s="14"/>
      <c r="HC196" s="14"/>
      <c r="HD196" s="14"/>
      <c r="HE196" s="14"/>
      <c r="HF196" s="14"/>
      <c r="HG196" s="14"/>
      <c r="HH196" s="14"/>
      <c r="HI196" s="14"/>
      <c r="HJ196" s="14"/>
      <c r="HK196" s="14"/>
      <c r="HL196" s="14"/>
      <c r="HM196" s="14"/>
      <c r="HN196" s="14"/>
      <c r="HO196" s="14"/>
      <c r="HP196" s="14"/>
      <c r="HQ196" s="14"/>
      <c r="HR196" s="14"/>
      <c r="HS196" s="14"/>
      <c r="HT196" s="14"/>
      <c r="HU196" s="14"/>
      <c r="HV196" s="14"/>
      <c r="HW196" s="14"/>
      <c r="HX196" s="14"/>
      <c r="HY196" s="14"/>
      <c r="HZ196" s="14"/>
      <c r="IA196" s="14"/>
      <c r="IB196" s="14"/>
      <c r="IC196" s="14"/>
      <c r="ID196" s="14"/>
      <c r="IE196" s="14"/>
      <c r="IF196" s="14"/>
      <c r="IG196" s="14"/>
      <c r="IH196" s="14"/>
      <c r="II196" s="14"/>
      <c r="IJ196" s="14"/>
      <c r="IK196" s="14"/>
      <c r="IL196" s="14"/>
      <c r="IM196" s="14"/>
      <c r="IN196" s="14"/>
      <c r="IO196" s="14"/>
      <c r="IP196" s="14"/>
      <c r="IQ196" s="14"/>
      <c r="IR196" s="14"/>
      <c r="IS196" s="14"/>
      <c r="IT196" s="14"/>
      <c r="IU196" s="14"/>
      <c r="IV196" s="14"/>
      <c r="IW196" s="14"/>
      <c r="IX196" s="14"/>
      <c r="IY196" s="14"/>
      <c r="IZ196" s="14"/>
      <c r="JA196" s="14"/>
      <c r="JB196" s="14"/>
      <c r="JC196" s="14"/>
      <c r="JD196" s="14"/>
      <c r="JE196" s="14"/>
      <c r="JF196" s="14"/>
      <c r="JG196" s="14"/>
      <c r="JH196" s="14"/>
      <c r="JI196" s="14"/>
      <c r="JJ196" s="14"/>
      <c r="JK196" s="14"/>
      <c r="JL196" s="14"/>
      <c r="JM196" s="14"/>
      <c r="JN196" s="14"/>
      <c r="JO196" s="14"/>
      <c r="JP196" s="14"/>
      <c r="JQ196" s="14"/>
      <c r="JR196" s="14"/>
      <c r="JS196" s="14"/>
      <c r="JT196" s="14"/>
      <c r="JU196" s="14"/>
      <c r="JV196" s="14"/>
      <c r="JW196" s="14"/>
      <c r="JX196" s="14"/>
      <c r="JY196" s="14"/>
      <c r="JZ196" s="14"/>
      <c r="KA196" s="14"/>
      <c r="KB196" s="14"/>
      <c r="KC196" s="14"/>
      <c r="KD196" s="14"/>
      <c r="KE196" s="14"/>
      <c r="KF196" s="14"/>
      <c r="KG196" s="14"/>
      <c r="KH196" s="14"/>
      <c r="KI196" s="14"/>
      <c r="KJ196" s="14"/>
      <c r="KK196" s="14"/>
      <c r="KL196" s="14"/>
      <c r="KM196" s="14"/>
      <c r="KN196" s="14"/>
      <c r="KO196" s="14"/>
      <c r="KP196" s="14"/>
      <c r="KQ196" s="14"/>
      <c r="KR196" s="14"/>
      <c r="KS196" s="14"/>
      <c r="KT196" s="14"/>
      <c r="KU196" s="14"/>
      <c r="KV196" s="14"/>
      <c r="KW196" s="14"/>
      <c r="KX196" s="14"/>
      <c r="KY196" s="14"/>
      <c r="KZ196" s="14"/>
      <c r="LA196" s="14"/>
      <c r="LB196" s="14"/>
      <c r="LC196" s="14"/>
      <c r="LD196" s="14"/>
      <c r="LE196" s="14"/>
      <c r="LF196" s="14"/>
      <c r="LG196" s="14"/>
      <c r="LH196" s="14"/>
      <c r="LI196" s="14"/>
      <c r="LJ196" s="14"/>
      <c r="LK196" s="14"/>
      <c r="LL196" s="14"/>
      <c r="LM196" s="14"/>
      <c r="LN196" s="14"/>
      <c r="LO196" s="14"/>
      <c r="LP196" s="14"/>
      <c r="LQ196" s="14"/>
      <c r="LR196" s="14"/>
      <c r="LS196" s="14"/>
      <c r="LT196" s="14"/>
      <c r="LU196" s="14"/>
      <c r="LV196" s="14"/>
      <c r="LW196" s="14"/>
      <c r="LX196" s="14"/>
      <c r="LY196" s="14"/>
      <c r="LZ196" s="14"/>
      <c r="MA196" s="14"/>
      <c r="MB196" s="14"/>
      <c r="MC196" s="14"/>
      <c r="MD196" s="14"/>
      <c r="ME196" s="14"/>
      <c r="MF196" s="14"/>
      <c r="MG196" s="14"/>
      <c r="MH196" s="14"/>
      <c r="MI196" s="14"/>
      <c r="MJ196" s="14"/>
      <c r="MK196" s="14"/>
      <c r="ML196" s="14"/>
      <c r="MM196" s="14"/>
      <c r="MN196" s="14"/>
      <c r="MO196" s="14"/>
      <c r="MP196" s="14"/>
      <c r="MQ196" s="14"/>
      <c r="MR196" s="14"/>
      <c r="MS196" s="14"/>
      <c r="MT196" s="14"/>
      <c r="MU196" s="14"/>
      <c r="MV196" s="14"/>
      <c r="MW196" s="14"/>
      <c r="MX196" s="14"/>
      <c r="MY196" s="14"/>
      <c r="MZ196" s="14"/>
      <c r="NA196" s="14"/>
      <c r="NB196" s="14"/>
      <c r="NC196" s="14"/>
      <c r="ND196" s="14"/>
      <c r="NE196" s="14"/>
      <c r="NF196" s="14"/>
      <c r="NG196" s="14"/>
      <c r="NH196" s="14"/>
      <c r="NI196" s="14"/>
      <c r="NJ196" s="14"/>
      <c r="NK196" s="14"/>
      <c r="NL196" s="14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</row>
    <row r="197" ht="13.5" customHeight="1">
      <c r="A197" s="2"/>
      <c r="B197" s="22"/>
      <c r="C197" s="2"/>
      <c r="D197" s="13"/>
      <c r="E197" s="3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4"/>
      <c r="DF197" s="14"/>
      <c r="DG197" s="14"/>
      <c r="DH197" s="14"/>
      <c r="DI197" s="14"/>
      <c r="DJ197" s="14"/>
      <c r="DK197" s="14"/>
      <c r="DL197" s="14"/>
      <c r="DM197" s="14"/>
      <c r="DN197" s="14"/>
      <c r="DO197" s="14"/>
      <c r="DP197" s="14"/>
      <c r="DQ197" s="14"/>
      <c r="DR197" s="14"/>
      <c r="DS197" s="14"/>
      <c r="DT197" s="14"/>
      <c r="DU197" s="14"/>
      <c r="DV197" s="14"/>
      <c r="DW197" s="14"/>
      <c r="DX197" s="14"/>
      <c r="DY197" s="14"/>
      <c r="DZ197" s="14"/>
      <c r="EA197" s="14"/>
      <c r="EB197" s="14"/>
      <c r="EC197" s="14"/>
      <c r="ED197" s="14"/>
      <c r="EE197" s="14"/>
      <c r="EF197" s="14"/>
      <c r="EG197" s="14"/>
      <c r="EH197" s="14"/>
      <c r="EI197" s="14"/>
      <c r="EJ197" s="14"/>
      <c r="EK197" s="14"/>
      <c r="EL197" s="14"/>
      <c r="EM197" s="14"/>
      <c r="EN197" s="14"/>
      <c r="EO197" s="14"/>
      <c r="EP197" s="14"/>
      <c r="EQ197" s="14"/>
      <c r="ER197" s="14"/>
      <c r="ES197" s="14"/>
      <c r="ET197" s="14"/>
      <c r="EU197" s="14"/>
      <c r="EV197" s="14"/>
      <c r="EW197" s="14"/>
      <c r="EX197" s="14"/>
      <c r="EY197" s="14"/>
      <c r="EZ197" s="14"/>
      <c r="FA197" s="14"/>
      <c r="FB197" s="14"/>
      <c r="FC197" s="14"/>
      <c r="FD197" s="14"/>
      <c r="FE197" s="14"/>
      <c r="FF197" s="14"/>
      <c r="FG197" s="14"/>
      <c r="FH197" s="14"/>
      <c r="FI197" s="14"/>
      <c r="FJ197" s="14"/>
      <c r="FK197" s="14"/>
      <c r="FL197" s="14"/>
      <c r="FM197" s="14"/>
      <c r="FN197" s="14"/>
      <c r="FO197" s="14"/>
      <c r="FP197" s="14"/>
      <c r="FQ197" s="14"/>
      <c r="FR197" s="14"/>
      <c r="FS197" s="14"/>
      <c r="FT197" s="14"/>
      <c r="FU197" s="14"/>
      <c r="FV197" s="14"/>
      <c r="FW197" s="14"/>
      <c r="FX197" s="14"/>
      <c r="FY197" s="14"/>
      <c r="FZ197" s="14"/>
      <c r="GA197" s="14"/>
      <c r="GB197" s="14"/>
      <c r="GC197" s="14"/>
      <c r="GD197" s="14"/>
      <c r="GE197" s="14"/>
      <c r="GF197" s="14"/>
      <c r="GG197" s="14"/>
      <c r="GH197" s="14"/>
      <c r="GI197" s="14"/>
      <c r="GJ197" s="14"/>
      <c r="GK197" s="14"/>
      <c r="GL197" s="14"/>
      <c r="GM197" s="14"/>
      <c r="GN197" s="14"/>
      <c r="GO197" s="14"/>
      <c r="GP197" s="14"/>
      <c r="GQ197" s="14"/>
      <c r="GR197" s="14"/>
      <c r="GS197" s="14"/>
      <c r="GT197" s="14"/>
      <c r="GU197" s="14"/>
      <c r="GV197" s="14"/>
      <c r="GW197" s="14"/>
      <c r="GX197" s="14"/>
      <c r="GY197" s="14"/>
      <c r="GZ197" s="14"/>
      <c r="HA197" s="14"/>
      <c r="HB197" s="14"/>
      <c r="HC197" s="14"/>
      <c r="HD197" s="14"/>
      <c r="HE197" s="14"/>
      <c r="HF197" s="14"/>
      <c r="HG197" s="14"/>
      <c r="HH197" s="14"/>
      <c r="HI197" s="14"/>
      <c r="HJ197" s="14"/>
      <c r="HK197" s="14"/>
      <c r="HL197" s="14"/>
      <c r="HM197" s="14"/>
      <c r="HN197" s="14"/>
      <c r="HO197" s="14"/>
      <c r="HP197" s="14"/>
      <c r="HQ197" s="14"/>
      <c r="HR197" s="14"/>
      <c r="HS197" s="14"/>
      <c r="HT197" s="14"/>
      <c r="HU197" s="14"/>
      <c r="HV197" s="14"/>
      <c r="HW197" s="14"/>
      <c r="HX197" s="14"/>
      <c r="HY197" s="14"/>
      <c r="HZ197" s="14"/>
      <c r="IA197" s="14"/>
      <c r="IB197" s="14"/>
      <c r="IC197" s="14"/>
      <c r="ID197" s="14"/>
      <c r="IE197" s="14"/>
      <c r="IF197" s="14"/>
      <c r="IG197" s="14"/>
      <c r="IH197" s="14"/>
      <c r="II197" s="14"/>
      <c r="IJ197" s="14"/>
      <c r="IK197" s="14"/>
      <c r="IL197" s="14"/>
      <c r="IM197" s="14"/>
      <c r="IN197" s="14"/>
      <c r="IO197" s="14"/>
      <c r="IP197" s="14"/>
      <c r="IQ197" s="14"/>
      <c r="IR197" s="14"/>
      <c r="IS197" s="14"/>
      <c r="IT197" s="14"/>
      <c r="IU197" s="14"/>
      <c r="IV197" s="14"/>
      <c r="IW197" s="14"/>
      <c r="IX197" s="14"/>
      <c r="IY197" s="14"/>
      <c r="IZ197" s="14"/>
      <c r="JA197" s="14"/>
      <c r="JB197" s="14"/>
      <c r="JC197" s="14"/>
      <c r="JD197" s="14"/>
      <c r="JE197" s="14"/>
      <c r="JF197" s="14"/>
      <c r="JG197" s="14"/>
      <c r="JH197" s="14"/>
      <c r="JI197" s="14"/>
      <c r="JJ197" s="14"/>
      <c r="JK197" s="14"/>
      <c r="JL197" s="14"/>
      <c r="JM197" s="14"/>
      <c r="JN197" s="14"/>
      <c r="JO197" s="14"/>
      <c r="JP197" s="14"/>
      <c r="JQ197" s="14"/>
      <c r="JR197" s="14"/>
      <c r="JS197" s="14"/>
      <c r="JT197" s="14"/>
      <c r="JU197" s="14"/>
      <c r="JV197" s="14"/>
      <c r="JW197" s="14"/>
      <c r="JX197" s="14"/>
      <c r="JY197" s="14"/>
      <c r="JZ197" s="14"/>
      <c r="KA197" s="14"/>
      <c r="KB197" s="14"/>
      <c r="KC197" s="14"/>
      <c r="KD197" s="14"/>
      <c r="KE197" s="14"/>
      <c r="KF197" s="14"/>
      <c r="KG197" s="14"/>
      <c r="KH197" s="14"/>
      <c r="KI197" s="14"/>
      <c r="KJ197" s="14"/>
      <c r="KK197" s="14"/>
      <c r="KL197" s="14"/>
      <c r="KM197" s="14"/>
      <c r="KN197" s="14"/>
      <c r="KO197" s="14"/>
      <c r="KP197" s="14"/>
      <c r="KQ197" s="14"/>
      <c r="KR197" s="14"/>
      <c r="KS197" s="14"/>
      <c r="KT197" s="14"/>
      <c r="KU197" s="14"/>
      <c r="KV197" s="14"/>
      <c r="KW197" s="14"/>
      <c r="KX197" s="14"/>
      <c r="KY197" s="14"/>
      <c r="KZ197" s="14"/>
      <c r="LA197" s="14"/>
      <c r="LB197" s="14"/>
      <c r="LC197" s="14"/>
      <c r="LD197" s="14"/>
      <c r="LE197" s="14"/>
      <c r="LF197" s="14"/>
      <c r="LG197" s="14"/>
      <c r="LH197" s="14"/>
      <c r="LI197" s="14"/>
      <c r="LJ197" s="14"/>
      <c r="LK197" s="14"/>
      <c r="LL197" s="14"/>
      <c r="LM197" s="14"/>
      <c r="LN197" s="14"/>
      <c r="LO197" s="14"/>
      <c r="LP197" s="14"/>
      <c r="LQ197" s="14"/>
      <c r="LR197" s="14"/>
      <c r="LS197" s="14"/>
      <c r="LT197" s="14"/>
      <c r="LU197" s="14"/>
      <c r="LV197" s="14"/>
      <c r="LW197" s="14"/>
      <c r="LX197" s="14"/>
      <c r="LY197" s="14"/>
      <c r="LZ197" s="14"/>
      <c r="MA197" s="14"/>
      <c r="MB197" s="14"/>
      <c r="MC197" s="14"/>
      <c r="MD197" s="14"/>
      <c r="ME197" s="14"/>
      <c r="MF197" s="14"/>
      <c r="MG197" s="14"/>
      <c r="MH197" s="14"/>
      <c r="MI197" s="14"/>
      <c r="MJ197" s="14"/>
      <c r="MK197" s="14"/>
      <c r="ML197" s="14"/>
      <c r="MM197" s="14"/>
      <c r="MN197" s="14"/>
      <c r="MO197" s="14"/>
      <c r="MP197" s="14"/>
      <c r="MQ197" s="14"/>
      <c r="MR197" s="14"/>
      <c r="MS197" s="14"/>
      <c r="MT197" s="14"/>
      <c r="MU197" s="14"/>
      <c r="MV197" s="14"/>
      <c r="MW197" s="14"/>
      <c r="MX197" s="14"/>
      <c r="MY197" s="14"/>
      <c r="MZ197" s="14"/>
      <c r="NA197" s="14"/>
      <c r="NB197" s="14"/>
      <c r="NC197" s="14"/>
      <c r="ND197" s="14"/>
      <c r="NE197" s="14"/>
      <c r="NF197" s="14"/>
      <c r="NG197" s="14"/>
      <c r="NH197" s="14"/>
      <c r="NI197" s="14"/>
      <c r="NJ197" s="14"/>
      <c r="NK197" s="14"/>
      <c r="NL197" s="14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</row>
    <row r="198" ht="13.5" customHeight="1">
      <c r="A198" s="2"/>
      <c r="B198" s="22"/>
      <c r="C198" s="2"/>
      <c r="D198" s="13"/>
      <c r="E198" s="3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4"/>
      <c r="DF198" s="14"/>
      <c r="DG198" s="14"/>
      <c r="DH198" s="14"/>
      <c r="DI198" s="14"/>
      <c r="DJ198" s="14"/>
      <c r="DK198" s="14"/>
      <c r="DL198" s="14"/>
      <c r="DM198" s="14"/>
      <c r="DN198" s="14"/>
      <c r="DO198" s="14"/>
      <c r="DP198" s="14"/>
      <c r="DQ198" s="14"/>
      <c r="DR198" s="14"/>
      <c r="DS198" s="14"/>
      <c r="DT198" s="14"/>
      <c r="DU198" s="14"/>
      <c r="DV198" s="14"/>
      <c r="DW198" s="14"/>
      <c r="DX198" s="14"/>
      <c r="DY198" s="14"/>
      <c r="DZ198" s="14"/>
      <c r="EA198" s="14"/>
      <c r="EB198" s="14"/>
      <c r="EC198" s="14"/>
      <c r="ED198" s="14"/>
      <c r="EE198" s="14"/>
      <c r="EF198" s="14"/>
      <c r="EG198" s="14"/>
      <c r="EH198" s="14"/>
      <c r="EI198" s="14"/>
      <c r="EJ198" s="14"/>
      <c r="EK198" s="14"/>
      <c r="EL198" s="14"/>
      <c r="EM198" s="14"/>
      <c r="EN198" s="14"/>
      <c r="EO198" s="14"/>
      <c r="EP198" s="14"/>
      <c r="EQ198" s="14"/>
      <c r="ER198" s="14"/>
      <c r="ES198" s="14"/>
      <c r="ET198" s="14"/>
      <c r="EU198" s="14"/>
      <c r="EV198" s="14"/>
      <c r="EW198" s="14"/>
      <c r="EX198" s="14"/>
      <c r="EY198" s="14"/>
      <c r="EZ198" s="14"/>
      <c r="FA198" s="14"/>
      <c r="FB198" s="14"/>
      <c r="FC198" s="14"/>
      <c r="FD198" s="14"/>
      <c r="FE198" s="14"/>
      <c r="FF198" s="14"/>
      <c r="FG198" s="14"/>
      <c r="FH198" s="14"/>
      <c r="FI198" s="14"/>
      <c r="FJ198" s="14"/>
      <c r="FK198" s="14"/>
      <c r="FL198" s="14"/>
      <c r="FM198" s="14"/>
      <c r="FN198" s="14"/>
      <c r="FO198" s="14"/>
      <c r="FP198" s="14"/>
      <c r="FQ198" s="14"/>
      <c r="FR198" s="14"/>
      <c r="FS198" s="14"/>
      <c r="FT198" s="14"/>
      <c r="FU198" s="14"/>
      <c r="FV198" s="14"/>
      <c r="FW198" s="14"/>
      <c r="FX198" s="14"/>
      <c r="FY198" s="14"/>
      <c r="FZ198" s="14"/>
      <c r="GA198" s="14"/>
      <c r="GB198" s="14"/>
      <c r="GC198" s="14"/>
      <c r="GD198" s="14"/>
      <c r="GE198" s="14"/>
      <c r="GF198" s="14"/>
      <c r="GG198" s="14"/>
      <c r="GH198" s="14"/>
      <c r="GI198" s="14"/>
      <c r="GJ198" s="14"/>
      <c r="GK198" s="14"/>
      <c r="GL198" s="14"/>
      <c r="GM198" s="14"/>
      <c r="GN198" s="14"/>
      <c r="GO198" s="14"/>
      <c r="GP198" s="14"/>
      <c r="GQ198" s="14"/>
      <c r="GR198" s="14"/>
      <c r="GS198" s="14"/>
      <c r="GT198" s="14"/>
      <c r="GU198" s="14"/>
      <c r="GV198" s="14"/>
      <c r="GW198" s="14"/>
      <c r="GX198" s="14"/>
      <c r="GY198" s="14"/>
      <c r="GZ198" s="14"/>
      <c r="HA198" s="14"/>
      <c r="HB198" s="14"/>
      <c r="HC198" s="14"/>
      <c r="HD198" s="14"/>
      <c r="HE198" s="14"/>
      <c r="HF198" s="14"/>
      <c r="HG198" s="14"/>
      <c r="HH198" s="14"/>
      <c r="HI198" s="14"/>
      <c r="HJ198" s="14"/>
      <c r="HK198" s="14"/>
      <c r="HL198" s="14"/>
      <c r="HM198" s="14"/>
      <c r="HN198" s="14"/>
      <c r="HO198" s="14"/>
      <c r="HP198" s="14"/>
      <c r="HQ198" s="14"/>
      <c r="HR198" s="14"/>
      <c r="HS198" s="14"/>
      <c r="HT198" s="14"/>
      <c r="HU198" s="14"/>
      <c r="HV198" s="14"/>
      <c r="HW198" s="14"/>
      <c r="HX198" s="14"/>
      <c r="HY198" s="14"/>
      <c r="HZ198" s="14"/>
      <c r="IA198" s="14"/>
      <c r="IB198" s="14"/>
      <c r="IC198" s="14"/>
      <c r="ID198" s="14"/>
      <c r="IE198" s="14"/>
      <c r="IF198" s="14"/>
      <c r="IG198" s="14"/>
      <c r="IH198" s="14"/>
      <c r="II198" s="14"/>
      <c r="IJ198" s="14"/>
      <c r="IK198" s="14"/>
      <c r="IL198" s="14"/>
      <c r="IM198" s="14"/>
      <c r="IN198" s="14"/>
      <c r="IO198" s="14"/>
      <c r="IP198" s="14"/>
      <c r="IQ198" s="14"/>
      <c r="IR198" s="14"/>
      <c r="IS198" s="14"/>
      <c r="IT198" s="14"/>
      <c r="IU198" s="14"/>
      <c r="IV198" s="14"/>
      <c r="IW198" s="14"/>
      <c r="IX198" s="14"/>
      <c r="IY198" s="14"/>
      <c r="IZ198" s="14"/>
      <c r="JA198" s="14"/>
      <c r="JB198" s="14"/>
      <c r="JC198" s="14"/>
      <c r="JD198" s="14"/>
      <c r="JE198" s="14"/>
      <c r="JF198" s="14"/>
      <c r="JG198" s="14"/>
      <c r="JH198" s="14"/>
      <c r="JI198" s="14"/>
      <c r="JJ198" s="14"/>
      <c r="JK198" s="14"/>
      <c r="JL198" s="14"/>
      <c r="JM198" s="14"/>
      <c r="JN198" s="14"/>
      <c r="JO198" s="14"/>
      <c r="JP198" s="14"/>
      <c r="JQ198" s="14"/>
      <c r="JR198" s="14"/>
      <c r="JS198" s="14"/>
      <c r="JT198" s="14"/>
      <c r="JU198" s="14"/>
      <c r="JV198" s="14"/>
      <c r="JW198" s="14"/>
      <c r="JX198" s="14"/>
      <c r="JY198" s="14"/>
      <c r="JZ198" s="14"/>
      <c r="KA198" s="14"/>
      <c r="KB198" s="14"/>
      <c r="KC198" s="14"/>
      <c r="KD198" s="14"/>
      <c r="KE198" s="14"/>
      <c r="KF198" s="14"/>
      <c r="KG198" s="14"/>
      <c r="KH198" s="14"/>
      <c r="KI198" s="14"/>
      <c r="KJ198" s="14"/>
      <c r="KK198" s="14"/>
      <c r="KL198" s="14"/>
      <c r="KM198" s="14"/>
      <c r="KN198" s="14"/>
      <c r="KO198" s="14"/>
      <c r="KP198" s="14"/>
      <c r="KQ198" s="14"/>
      <c r="KR198" s="14"/>
      <c r="KS198" s="14"/>
      <c r="KT198" s="14"/>
      <c r="KU198" s="14"/>
      <c r="KV198" s="14"/>
      <c r="KW198" s="14"/>
      <c r="KX198" s="14"/>
      <c r="KY198" s="14"/>
      <c r="KZ198" s="14"/>
      <c r="LA198" s="14"/>
      <c r="LB198" s="14"/>
      <c r="LC198" s="14"/>
      <c r="LD198" s="14"/>
      <c r="LE198" s="14"/>
      <c r="LF198" s="14"/>
      <c r="LG198" s="14"/>
      <c r="LH198" s="14"/>
      <c r="LI198" s="14"/>
      <c r="LJ198" s="14"/>
      <c r="LK198" s="14"/>
      <c r="LL198" s="14"/>
      <c r="LM198" s="14"/>
      <c r="LN198" s="14"/>
      <c r="LO198" s="14"/>
      <c r="LP198" s="14"/>
      <c r="LQ198" s="14"/>
      <c r="LR198" s="14"/>
      <c r="LS198" s="14"/>
      <c r="LT198" s="14"/>
      <c r="LU198" s="14"/>
      <c r="LV198" s="14"/>
      <c r="LW198" s="14"/>
      <c r="LX198" s="14"/>
      <c r="LY198" s="14"/>
      <c r="LZ198" s="14"/>
      <c r="MA198" s="14"/>
      <c r="MB198" s="14"/>
      <c r="MC198" s="14"/>
      <c r="MD198" s="14"/>
      <c r="ME198" s="14"/>
      <c r="MF198" s="14"/>
      <c r="MG198" s="14"/>
      <c r="MH198" s="14"/>
      <c r="MI198" s="14"/>
      <c r="MJ198" s="14"/>
      <c r="MK198" s="14"/>
      <c r="ML198" s="14"/>
      <c r="MM198" s="14"/>
      <c r="MN198" s="14"/>
      <c r="MO198" s="14"/>
      <c r="MP198" s="14"/>
      <c r="MQ198" s="14"/>
      <c r="MR198" s="14"/>
      <c r="MS198" s="14"/>
      <c r="MT198" s="14"/>
      <c r="MU198" s="14"/>
      <c r="MV198" s="14"/>
      <c r="MW198" s="14"/>
      <c r="MX198" s="14"/>
      <c r="MY198" s="14"/>
      <c r="MZ198" s="14"/>
      <c r="NA198" s="14"/>
      <c r="NB198" s="14"/>
      <c r="NC198" s="14"/>
      <c r="ND198" s="14"/>
      <c r="NE198" s="14"/>
      <c r="NF198" s="14"/>
      <c r="NG198" s="14"/>
      <c r="NH198" s="14"/>
      <c r="NI198" s="14"/>
      <c r="NJ198" s="14"/>
      <c r="NK198" s="14"/>
      <c r="NL198" s="14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</row>
    <row r="199" ht="13.5" customHeight="1">
      <c r="A199" s="2"/>
      <c r="B199" s="22"/>
      <c r="C199" s="2"/>
      <c r="D199" s="13"/>
      <c r="E199" s="3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4"/>
      <c r="DF199" s="14"/>
      <c r="DG199" s="14"/>
      <c r="DH199" s="14"/>
      <c r="DI199" s="14"/>
      <c r="DJ199" s="14"/>
      <c r="DK199" s="14"/>
      <c r="DL199" s="14"/>
      <c r="DM199" s="14"/>
      <c r="DN199" s="14"/>
      <c r="DO199" s="14"/>
      <c r="DP199" s="14"/>
      <c r="DQ199" s="14"/>
      <c r="DR199" s="14"/>
      <c r="DS199" s="14"/>
      <c r="DT199" s="14"/>
      <c r="DU199" s="14"/>
      <c r="DV199" s="14"/>
      <c r="DW199" s="14"/>
      <c r="DX199" s="14"/>
      <c r="DY199" s="14"/>
      <c r="DZ199" s="14"/>
      <c r="EA199" s="14"/>
      <c r="EB199" s="14"/>
      <c r="EC199" s="14"/>
      <c r="ED199" s="14"/>
      <c r="EE199" s="14"/>
      <c r="EF199" s="14"/>
      <c r="EG199" s="14"/>
      <c r="EH199" s="14"/>
      <c r="EI199" s="14"/>
      <c r="EJ199" s="14"/>
      <c r="EK199" s="14"/>
      <c r="EL199" s="14"/>
      <c r="EM199" s="14"/>
      <c r="EN199" s="14"/>
      <c r="EO199" s="14"/>
      <c r="EP199" s="14"/>
      <c r="EQ199" s="14"/>
      <c r="ER199" s="14"/>
      <c r="ES199" s="14"/>
      <c r="ET199" s="14"/>
      <c r="EU199" s="14"/>
      <c r="EV199" s="14"/>
      <c r="EW199" s="14"/>
      <c r="EX199" s="14"/>
      <c r="EY199" s="14"/>
      <c r="EZ199" s="14"/>
      <c r="FA199" s="14"/>
      <c r="FB199" s="14"/>
      <c r="FC199" s="14"/>
      <c r="FD199" s="14"/>
      <c r="FE199" s="14"/>
      <c r="FF199" s="14"/>
      <c r="FG199" s="14"/>
      <c r="FH199" s="14"/>
      <c r="FI199" s="14"/>
      <c r="FJ199" s="14"/>
      <c r="FK199" s="14"/>
      <c r="FL199" s="14"/>
      <c r="FM199" s="14"/>
      <c r="FN199" s="14"/>
      <c r="FO199" s="14"/>
      <c r="FP199" s="14"/>
      <c r="FQ199" s="14"/>
      <c r="FR199" s="14"/>
      <c r="FS199" s="14"/>
      <c r="FT199" s="14"/>
      <c r="FU199" s="14"/>
      <c r="FV199" s="14"/>
      <c r="FW199" s="14"/>
      <c r="FX199" s="14"/>
      <c r="FY199" s="14"/>
      <c r="FZ199" s="14"/>
      <c r="GA199" s="14"/>
      <c r="GB199" s="14"/>
      <c r="GC199" s="14"/>
      <c r="GD199" s="14"/>
      <c r="GE199" s="14"/>
      <c r="GF199" s="14"/>
      <c r="GG199" s="14"/>
      <c r="GH199" s="14"/>
      <c r="GI199" s="14"/>
      <c r="GJ199" s="14"/>
      <c r="GK199" s="14"/>
      <c r="GL199" s="14"/>
      <c r="GM199" s="14"/>
      <c r="GN199" s="14"/>
      <c r="GO199" s="14"/>
      <c r="GP199" s="14"/>
      <c r="GQ199" s="14"/>
      <c r="GR199" s="14"/>
      <c r="GS199" s="14"/>
      <c r="GT199" s="14"/>
      <c r="GU199" s="14"/>
      <c r="GV199" s="14"/>
      <c r="GW199" s="14"/>
      <c r="GX199" s="14"/>
      <c r="GY199" s="14"/>
      <c r="GZ199" s="14"/>
      <c r="HA199" s="14"/>
      <c r="HB199" s="14"/>
      <c r="HC199" s="14"/>
      <c r="HD199" s="14"/>
      <c r="HE199" s="14"/>
      <c r="HF199" s="14"/>
      <c r="HG199" s="14"/>
      <c r="HH199" s="14"/>
      <c r="HI199" s="14"/>
      <c r="HJ199" s="14"/>
      <c r="HK199" s="14"/>
      <c r="HL199" s="14"/>
      <c r="HM199" s="14"/>
      <c r="HN199" s="14"/>
      <c r="HO199" s="14"/>
      <c r="HP199" s="14"/>
      <c r="HQ199" s="14"/>
      <c r="HR199" s="14"/>
      <c r="HS199" s="14"/>
      <c r="HT199" s="14"/>
      <c r="HU199" s="14"/>
      <c r="HV199" s="14"/>
      <c r="HW199" s="14"/>
      <c r="HX199" s="14"/>
      <c r="HY199" s="14"/>
      <c r="HZ199" s="14"/>
      <c r="IA199" s="14"/>
      <c r="IB199" s="14"/>
      <c r="IC199" s="14"/>
      <c r="ID199" s="14"/>
      <c r="IE199" s="14"/>
      <c r="IF199" s="14"/>
      <c r="IG199" s="14"/>
      <c r="IH199" s="14"/>
      <c r="II199" s="14"/>
      <c r="IJ199" s="14"/>
      <c r="IK199" s="14"/>
      <c r="IL199" s="14"/>
      <c r="IM199" s="14"/>
      <c r="IN199" s="14"/>
      <c r="IO199" s="14"/>
      <c r="IP199" s="14"/>
      <c r="IQ199" s="14"/>
      <c r="IR199" s="14"/>
      <c r="IS199" s="14"/>
      <c r="IT199" s="14"/>
      <c r="IU199" s="14"/>
      <c r="IV199" s="14"/>
      <c r="IW199" s="14"/>
      <c r="IX199" s="14"/>
      <c r="IY199" s="14"/>
      <c r="IZ199" s="14"/>
      <c r="JA199" s="14"/>
      <c r="JB199" s="14"/>
      <c r="JC199" s="14"/>
      <c r="JD199" s="14"/>
      <c r="JE199" s="14"/>
      <c r="JF199" s="14"/>
      <c r="JG199" s="14"/>
      <c r="JH199" s="14"/>
      <c r="JI199" s="14"/>
      <c r="JJ199" s="14"/>
      <c r="JK199" s="14"/>
      <c r="JL199" s="14"/>
      <c r="JM199" s="14"/>
      <c r="JN199" s="14"/>
      <c r="JO199" s="14"/>
      <c r="JP199" s="14"/>
      <c r="JQ199" s="14"/>
      <c r="JR199" s="14"/>
      <c r="JS199" s="14"/>
      <c r="JT199" s="14"/>
      <c r="JU199" s="14"/>
      <c r="JV199" s="14"/>
      <c r="JW199" s="14"/>
      <c r="JX199" s="14"/>
      <c r="JY199" s="14"/>
      <c r="JZ199" s="14"/>
      <c r="KA199" s="14"/>
      <c r="KB199" s="14"/>
      <c r="KC199" s="14"/>
      <c r="KD199" s="14"/>
      <c r="KE199" s="14"/>
      <c r="KF199" s="14"/>
      <c r="KG199" s="14"/>
      <c r="KH199" s="14"/>
      <c r="KI199" s="14"/>
      <c r="KJ199" s="14"/>
      <c r="KK199" s="14"/>
      <c r="KL199" s="14"/>
      <c r="KM199" s="14"/>
      <c r="KN199" s="14"/>
      <c r="KO199" s="14"/>
      <c r="KP199" s="14"/>
      <c r="KQ199" s="14"/>
      <c r="KR199" s="14"/>
      <c r="KS199" s="14"/>
      <c r="KT199" s="14"/>
      <c r="KU199" s="14"/>
      <c r="KV199" s="14"/>
      <c r="KW199" s="14"/>
      <c r="KX199" s="14"/>
      <c r="KY199" s="14"/>
      <c r="KZ199" s="14"/>
      <c r="LA199" s="14"/>
      <c r="LB199" s="14"/>
      <c r="LC199" s="14"/>
      <c r="LD199" s="14"/>
      <c r="LE199" s="14"/>
      <c r="LF199" s="14"/>
      <c r="LG199" s="14"/>
      <c r="LH199" s="14"/>
      <c r="LI199" s="14"/>
      <c r="LJ199" s="14"/>
      <c r="LK199" s="14"/>
      <c r="LL199" s="14"/>
      <c r="LM199" s="14"/>
      <c r="LN199" s="14"/>
      <c r="LO199" s="14"/>
      <c r="LP199" s="14"/>
      <c r="LQ199" s="14"/>
      <c r="LR199" s="14"/>
      <c r="LS199" s="14"/>
      <c r="LT199" s="14"/>
      <c r="LU199" s="14"/>
      <c r="LV199" s="14"/>
      <c r="LW199" s="14"/>
      <c r="LX199" s="14"/>
      <c r="LY199" s="14"/>
      <c r="LZ199" s="14"/>
      <c r="MA199" s="14"/>
      <c r="MB199" s="14"/>
      <c r="MC199" s="14"/>
      <c r="MD199" s="14"/>
      <c r="ME199" s="14"/>
      <c r="MF199" s="14"/>
      <c r="MG199" s="14"/>
      <c r="MH199" s="14"/>
      <c r="MI199" s="14"/>
      <c r="MJ199" s="14"/>
      <c r="MK199" s="14"/>
      <c r="ML199" s="14"/>
      <c r="MM199" s="14"/>
      <c r="MN199" s="14"/>
      <c r="MO199" s="14"/>
      <c r="MP199" s="14"/>
      <c r="MQ199" s="14"/>
      <c r="MR199" s="14"/>
      <c r="MS199" s="14"/>
      <c r="MT199" s="14"/>
      <c r="MU199" s="14"/>
      <c r="MV199" s="14"/>
      <c r="MW199" s="14"/>
      <c r="MX199" s="14"/>
      <c r="MY199" s="14"/>
      <c r="MZ199" s="14"/>
      <c r="NA199" s="14"/>
      <c r="NB199" s="14"/>
      <c r="NC199" s="14"/>
      <c r="ND199" s="14"/>
      <c r="NE199" s="14"/>
      <c r="NF199" s="14"/>
      <c r="NG199" s="14"/>
      <c r="NH199" s="14"/>
      <c r="NI199" s="14"/>
      <c r="NJ199" s="14"/>
      <c r="NK199" s="14"/>
      <c r="NL199" s="14"/>
      <c r="NM199" s="3"/>
      <c r="NN199" s="3"/>
      <c r="NO199" s="3"/>
      <c r="NP199" s="3"/>
      <c r="NQ199" s="3"/>
      <c r="NR199" s="3"/>
      <c r="NS199" s="3"/>
      <c r="NT199" s="3"/>
      <c r="NU199" s="3"/>
      <c r="NV199" s="3"/>
      <c r="NW199" s="3"/>
      <c r="NX199" s="3"/>
      <c r="NY199" s="3"/>
      <c r="NZ199" s="3"/>
      <c r="OA199" s="3"/>
      <c r="OB199" s="3"/>
      <c r="OC199" s="3"/>
      <c r="OD199" s="3"/>
      <c r="OE199" s="3"/>
      <c r="OF199" s="3"/>
    </row>
    <row r="200" ht="13.5" customHeight="1">
      <c r="A200" s="2"/>
      <c r="B200" s="22"/>
      <c r="C200" s="2"/>
      <c r="D200" s="13"/>
      <c r="E200" s="3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  <c r="DF200" s="14"/>
      <c r="DG200" s="14"/>
      <c r="DH200" s="14"/>
      <c r="DI200" s="14"/>
      <c r="DJ200" s="14"/>
      <c r="DK200" s="14"/>
      <c r="DL200" s="14"/>
      <c r="DM200" s="14"/>
      <c r="DN200" s="14"/>
      <c r="DO200" s="14"/>
      <c r="DP200" s="14"/>
      <c r="DQ200" s="14"/>
      <c r="DR200" s="14"/>
      <c r="DS200" s="14"/>
      <c r="DT200" s="14"/>
      <c r="DU200" s="14"/>
      <c r="DV200" s="14"/>
      <c r="DW200" s="14"/>
      <c r="DX200" s="14"/>
      <c r="DY200" s="14"/>
      <c r="DZ200" s="14"/>
      <c r="EA200" s="14"/>
      <c r="EB200" s="14"/>
      <c r="EC200" s="14"/>
      <c r="ED200" s="14"/>
      <c r="EE200" s="14"/>
      <c r="EF200" s="14"/>
      <c r="EG200" s="14"/>
      <c r="EH200" s="14"/>
      <c r="EI200" s="14"/>
      <c r="EJ200" s="14"/>
      <c r="EK200" s="14"/>
      <c r="EL200" s="14"/>
      <c r="EM200" s="14"/>
      <c r="EN200" s="14"/>
      <c r="EO200" s="14"/>
      <c r="EP200" s="14"/>
      <c r="EQ200" s="14"/>
      <c r="ER200" s="14"/>
      <c r="ES200" s="14"/>
      <c r="ET200" s="14"/>
      <c r="EU200" s="14"/>
      <c r="EV200" s="14"/>
      <c r="EW200" s="14"/>
      <c r="EX200" s="14"/>
      <c r="EY200" s="14"/>
      <c r="EZ200" s="14"/>
      <c r="FA200" s="14"/>
      <c r="FB200" s="14"/>
      <c r="FC200" s="14"/>
      <c r="FD200" s="14"/>
      <c r="FE200" s="14"/>
      <c r="FF200" s="14"/>
      <c r="FG200" s="14"/>
      <c r="FH200" s="14"/>
      <c r="FI200" s="14"/>
      <c r="FJ200" s="14"/>
      <c r="FK200" s="14"/>
      <c r="FL200" s="14"/>
      <c r="FM200" s="14"/>
      <c r="FN200" s="14"/>
      <c r="FO200" s="14"/>
      <c r="FP200" s="14"/>
      <c r="FQ200" s="14"/>
      <c r="FR200" s="14"/>
      <c r="FS200" s="14"/>
      <c r="FT200" s="14"/>
      <c r="FU200" s="14"/>
      <c r="FV200" s="14"/>
      <c r="FW200" s="14"/>
      <c r="FX200" s="14"/>
      <c r="FY200" s="14"/>
      <c r="FZ200" s="14"/>
      <c r="GA200" s="14"/>
      <c r="GB200" s="14"/>
      <c r="GC200" s="14"/>
      <c r="GD200" s="14"/>
      <c r="GE200" s="14"/>
      <c r="GF200" s="14"/>
      <c r="GG200" s="14"/>
      <c r="GH200" s="14"/>
      <c r="GI200" s="14"/>
      <c r="GJ200" s="14"/>
      <c r="GK200" s="14"/>
      <c r="GL200" s="14"/>
      <c r="GM200" s="14"/>
      <c r="GN200" s="14"/>
      <c r="GO200" s="14"/>
      <c r="GP200" s="14"/>
      <c r="GQ200" s="14"/>
      <c r="GR200" s="14"/>
      <c r="GS200" s="14"/>
      <c r="GT200" s="14"/>
      <c r="GU200" s="14"/>
      <c r="GV200" s="14"/>
      <c r="GW200" s="14"/>
      <c r="GX200" s="14"/>
      <c r="GY200" s="14"/>
      <c r="GZ200" s="14"/>
      <c r="HA200" s="14"/>
      <c r="HB200" s="14"/>
      <c r="HC200" s="14"/>
      <c r="HD200" s="14"/>
      <c r="HE200" s="14"/>
      <c r="HF200" s="14"/>
      <c r="HG200" s="14"/>
      <c r="HH200" s="14"/>
      <c r="HI200" s="14"/>
      <c r="HJ200" s="14"/>
      <c r="HK200" s="14"/>
      <c r="HL200" s="14"/>
      <c r="HM200" s="14"/>
      <c r="HN200" s="14"/>
      <c r="HO200" s="14"/>
      <c r="HP200" s="14"/>
      <c r="HQ200" s="14"/>
      <c r="HR200" s="14"/>
      <c r="HS200" s="14"/>
      <c r="HT200" s="14"/>
      <c r="HU200" s="14"/>
      <c r="HV200" s="14"/>
      <c r="HW200" s="14"/>
      <c r="HX200" s="14"/>
      <c r="HY200" s="14"/>
      <c r="HZ200" s="14"/>
      <c r="IA200" s="14"/>
      <c r="IB200" s="14"/>
      <c r="IC200" s="14"/>
      <c r="ID200" s="14"/>
      <c r="IE200" s="14"/>
      <c r="IF200" s="14"/>
      <c r="IG200" s="14"/>
      <c r="IH200" s="14"/>
      <c r="II200" s="14"/>
      <c r="IJ200" s="14"/>
      <c r="IK200" s="14"/>
      <c r="IL200" s="14"/>
      <c r="IM200" s="14"/>
      <c r="IN200" s="14"/>
      <c r="IO200" s="14"/>
      <c r="IP200" s="14"/>
      <c r="IQ200" s="14"/>
      <c r="IR200" s="14"/>
      <c r="IS200" s="14"/>
      <c r="IT200" s="14"/>
      <c r="IU200" s="14"/>
      <c r="IV200" s="14"/>
      <c r="IW200" s="14"/>
      <c r="IX200" s="14"/>
      <c r="IY200" s="14"/>
      <c r="IZ200" s="14"/>
      <c r="JA200" s="14"/>
      <c r="JB200" s="14"/>
      <c r="JC200" s="14"/>
      <c r="JD200" s="14"/>
      <c r="JE200" s="14"/>
      <c r="JF200" s="14"/>
      <c r="JG200" s="14"/>
      <c r="JH200" s="14"/>
      <c r="JI200" s="14"/>
      <c r="JJ200" s="14"/>
      <c r="JK200" s="14"/>
      <c r="JL200" s="14"/>
      <c r="JM200" s="14"/>
      <c r="JN200" s="14"/>
      <c r="JO200" s="14"/>
      <c r="JP200" s="14"/>
      <c r="JQ200" s="14"/>
      <c r="JR200" s="14"/>
      <c r="JS200" s="14"/>
      <c r="JT200" s="14"/>
      <c r="JU200" s="14"/>
      <c r="JV200" s="14"/>
      <c r="JW200" s="14"/>
      <c r="JX200" s="14"/>
      <c r="JY200" s="14"/>
      <c r="JZ200" s="14"/>
      <c r="KA200" s="14"/>
      <c r="KB200" s="14"/>
      <c r="KC200" s="14"/>
      <c r="KD200" s="14"/>
      <c r="KE200" s="14"/>
      <c r="KF200" s="14"/>
      <c r="KG200" s="14"/>
      <c r="KH200" s="14"/>
      <c r="KI200" s="14"/>
      <c r="KJ200" s="14"/>
      <c r="KK200" s="14"/>
      <c r="KL200" s="14"/>
      <c r="KM200" s="14"/>
      <c r="KN200" s="14"/>
      <c r="KO200" s="14"/>
      <c r="KP200" s="14"/>
      <c r="KQ200" s="14"/>
      <c r="KR200" s="14"/>
      <c r="KS200" s="14"/>
      <c r="KT200" s="14"/>
      <c r="KU200" s="14"/>
      <c r="KV200" s="14"/>
      <c r="KW200" s="14"/>
      <c r="KX200" s="14"/>
      <c r="KY200" s="14"/>
      <c r="KZ200" s="14"/>
      <c r="LA200" s="14"/>
      <c r="LB200" s="14"/>
      <c r="LC200" s="14"/>
      <c r="LD200" s="14"/>
      <c r="LE200" s="14"/>
      <c r="LF200" s="14"/>
      <c r="LG200" s="14"/>
      <c r="LH200" s="14"/>
      <c r="LI200" s="14"/>
      <c r="LJ200" s="14"/>
      <c r="LK200" s="14"/>
      <c r="LL200" s="14"/>
      <c r="LM200" s="14"/>
      <c r="LN200" s="14"/>
      <c r="LO200" s="14"/>
      <c r="LP200" s="14"/>
      <c r="LQ200" s="14"/>
      <c r="LR200" s="14"/>
      <c r="LS200" s="14"/>
      <c r="LT200" s="14"/>
      <c r="LU200" s="14"/>
      <c r="LV200" s="14"/>
      <c r="LW200" s="14"/>
      <c r="LX200" s="14"/>
      <c r="LY200" s="14"/>
      <c r="LZ200" s="14"/>
      <c r="MA200" s="14"/>
      <c r="MB200" s="14"/>
      <c r="MC200" s="14"/>
      <c r="MD200" s="14"/>
      <c r="ME200" s="14"/>
      <c r="MF200" s="14"/>
      <c r="MG200" s="14"/>
      <c r="MH200" s="14"/>
      <c r="MI200" s="14"/>
      <c r="MJ200" s="14"/>
      <c r="MK200" s="14"/>
      <c r="ML200" s="14"/>
      <c r="MM200" s="14"/>
      <c r="MN200" s="14"/>
      <c r="MO200" s="14"/>
      <c r="MP200" s="14"/>
      <c r="MQ200" s="14"/>
      <c r="MR200" s="14"/>
      <c r="MS200" s="14"/>
      <c r="MT200" s="14"/>
      <c r="MU200" s="14"/>
      <c r="MV200" s="14"/>
      <c r="MW200" s="14"/>
      <c r="MX200" s="14"/>
      <c r="MY200" s="14"/>
      <c r="MZ200" s="14"/>
      <c r="NA200" s="14"/>
      <c r="NB200" s="14"/>
      <c r="NC200" s="14"/>
      <c r="ND200" s="14"/>
      <c r="NE200" s="14"/>
      <c r="NF200" s="14"/>
      <c r="NG200" s="14"/>
      <c r="NH200" s="14"/>
      <c r="NI200" s="14"/>
      <c r="NJ200" s="14"/>
      <c r="NK200" s="14"/>
      <c r="NL200" s="14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</row>
    <row r="201" ht="13.5" customHeight="1">
      <c r="A201" s="2"/>
      <c r="B201" s="22"/>
      <c r="C201" s="2"/>
      <c r="D201" s="13"/>
      <c r="E201" s="3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4"/>
      <c r="DF201" s="14"/>
      <c r="DG201" s="14"/>
      <c r="DH201" s="14"/>
      <c r="DI201" s="14"/>
      <c r="DJ201" s="14"/>
      <c r="DK201" s="14"/>
      <c r="DL201" s="14"/>
      <c r="DM201" s="14"/>
      <c r="DN201" s="14"/>
      <c r="DO201" s="14"/>
      <c r="DP201" s="14"/>
      <c r="DQ201" s="14"/>
      <c r="DR201" s="14"/>
      <c r="DS201" s="14"/>
      <c r="DT201" s="14"/>
      <c r="DU201" s="14"/>
      <c r="DV201" s="14"/>
      <c r="DW201" s="14"/>
      <c r="DX201" s="14"/>
      <c r="DY201" s="14"/>
      <c r="DZ201" s="14"/>
      <c r="EA201" s="14"/>
      <c r="EB201" s="14"/>
      <c r="EC201" s="14"/>
      <c r="ED201" s="14"/>
      <c r="EE201" s="14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  <c r="HM201" s="14"/>
      <c r="HN201" s="14"/>
      <c r="HO201" s="14"/>
      <c r="HP201" s="14"/>
      <c r="HQ201" s="14"/>
      <c r="HR201" s="14"/>
      <c r="HS201" s="14"/>
      <c r="HT201" s="14"/>
      <c r="HU201" s="14"/>
      <c r="HV201" s="14"/>
      <c r="HW201" s="14"/>
      <c r="HX201" s="14"/>
      <c r="HY201" s="14"/>
      <c r="HZ201" s="14"/>
      <c r="IA201" s="14"/>
      <c r="IB201" s="14"/>
      <c r="IC201" s="14"/>
      <c r="ID201" s="14"/>
      <c r="IE201" s="14"/>
      <c r="IF201" s="14"/>
      <c r="IG201" s="14"/>
      <c r="IH201" s="14"/>
      <c r="II201" s="14"/>
      <c r="IJ201" s="14"/>
      <c r="IK201" s="14"/>
      <c r="IL201" s="14"/>
      <c r="IM201" s="14"/>
      <c r="IN201" s="14"/>
      <c r="IO201" s="14"/>
      <c r="IP201" s="14"/>
      <c r="IQ201" s="14"/>
      <c r="IR201" s="14"/>
      <c r="IS201" s="14"/>
      <c r="IT201" s="14"/>
      <c r="IU201" s="14"/>
      <c r="IV201" s="14"/>
      <c r="IW201" s="14"/>
      <c r="IX201" s="14"/>
      <c r="IY201" s="14"/>
      <c r="IZ201" s="14"/>
      <c r="JA201" s="14"/>
      <c r="JB201" s="14"/>
      <c r="JC201" s="14"/>
      <c r="JD201" s="14"/>
      <c r="JE201" s="14"/>
      <c r="JF201" s="14"/>
      <c r="JG201" s="14"/>
      <c r="JH201" s="14"/>
      <c r="JI201" s="14"/>
      <c r="JJ201" s="14"/>
      <c r="JK201" s="14"/>
      <c r="JL201" s="14"/>
      <c r="JM201" s="14"/>
      <c r="JN201" s="14"/>
      <c r="JO201" s="14"/>
      <c r="JP201" s="14"/>
      <c r="JQ201" s="14"/>
      <c r="JR201" s="14"/>
      <c r="JS201" s="14"/>
      <c r="JT201" s="14"/>
      <c r="JU201" s="14"/>
      <c r="JV201" s="14"/>
      <c r="JW201" s="14"/>
      <c r="JX201" s="14"/>
      <c r="JY201" s="14"/>
      <c r="JZ201" s="14"/>
      <c r="KA201" s="14"/>
      <c r="KB201" s="14"/>
      <c r="KC201" s="14"/>
      <c r="KD201" s="14"/>
      <c r="KE201" s="14"/>
      <c r="KF201" s="14"/>
      <c r="KG201" s="14"/>
      <c r="KH201" s="14"/>
      <c r="KI201" s="14"/>
      <c r="KJ201" s="14"/>
      <c r="KK201" s="14"/>
      <c r="KL201" s="14"/>
      <c r="KM201" s="14"/>
      <c r="KN201" s="14"/>
      <c r="KO201" s="14"/>
      <c r="KP201" s="14"/>
      <c r="KQ201" s="14"/>
      <c r="KR201" s="14"/>
      <c r="KS201" s="14"/>
      <c r="KT201" s="14"/>
      <c r="KU201" s="14"/>
      <c r="KV201" s="14"/>
      <c r="KW201" s="14"/>
      <c r="KX201" s="14"/>
      <c r="KY201" s="14"/>
      <c r="KZ201" s="14"/>
      <c r="LA201" s="14"/>
      <c r="LB201" s="14"/>
      <c r="LC201" s="14"/>
      <c r="LD201" s="14"/>
      <c r="LE201" s="14"/>
      <c r="LF201" s="14"/>
      <c r="LG201" s="14"/>
      <c r="LH201" s="14"/>
      <c r="LI201" s="14"/>
      <c r="LJ201" s="14"/>
      <c r="LK201" s="14"/>
      <c r="LL201" s="14"/>
      <c r="LM201" s="14"/>
      <c r="LN201" s="14"/>
      <c r="LO201" s="14"/>
      <c r="LP201" s="14"/>
      <c r="LQ201" s="14"/>
      <c r="LR201" s="14"/>
      <c r="LS201" s="14"/>
      <c r="LT201" s="14"/>
      <c r="LU201" s="14"/>
      <c r="LV201" s="14"/>
      <c r="LW201" s="14"/>
      <c r="LX201" s="14"/>
      <c r="LY201" s="14"/>
      <c r="LZ201" s="14"/>
      <c r="MA201" s="14"/>
      <c r="MB201" s="14"/>
      <c r="MC201" s="14"/>
      <c r="MD201" s="14"/>
      <c r="ME201" s="14"/>
      <c r="MF201" s="14"/>
      <c r="MG201" s="14"/>
      <c r="MH201" s="14"/>
      <c r="MI201" s="14"/>
      <c r="MJ201" s="14"/>
      <c r="MK201" s="14"/>
      <c r="ML201" s="14"/>
      <c r="MM201" s="14"/>
      <c r="MN201" s="14"/>
      <c r="MO201" s="14"/>
      <c r="MP201" s="14"/>
      <c r="MQ201" s="14"/>
      <c r="MR201" s="14"/>
      <c r="MS201" s="14"/>
      <c r="MT201" s="14"/>
      <c r="MU201" s="14"/>
      <c r="MV201" s="14"/>
      <c r="MW201" s="14"/>
      <c r="MX201" s="14"/>
      <c r="MY201" s="14"/>
      <c r="MZ201" s="14"/>
      <c r="NA201" s="14"/>
      <c r="NB201" s="14"/>
      <c r="NC201" s="14"/>
      <c r="ND201" s="14"/>
      <c r="NE201" s="14"/>
      <c r="NF201" s="14"/>
      <c r="NG201" s="14"/>
      <c r="NH201" s="14"/>
      <c r="NI201" s="14"/>
      <c r="NJ201" s="14"/>
      <c r="NK201" s="14"/>
      <c r="NL201" s="14"/>
      <c r="NM201" s="3"/>
      <c r="NN201" s="3"/>
      <c r="NO201" s="3"/>
      <c r="NP201" s="3"/>
      <c r="NQ201" s="3"/>
      <c r="NR201" s="3"/>
      <c r="NS201" s="3"/>
      <c r="NT201" s="3"/>
      <c r="NU201" s="3"/>
      <c r="NV201" s="3"/>
      <c r="NW201" s="3"/>
      <c r="NX201" s="3"/>
      <c r="NY201" s="3"/>
      <c r="NZ201" s="3"/>
      <c r="OA201" s="3"/>
      <c r="OB201" s="3"/>
      <c r="OC201" s="3"/>
      <c r="OD201" s="3"/>
      <c r="OE201" s="3"/>
      <c r="OF201" s="3"/>
    </row>
    <row r="202" ht="13.5" customHeight="1">
      <c r="A202" s="2"/>
      <c r="B202" s="22"/>
      <c r="C202" s="2"/>
      <c r="D202" s="13"/>
      <c r="E202" s="3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4"/>
      <c r="DF202" s="14"/>
      <c r="DG202" s="14"/>
      <c r="DH202" s="14"/>
      <c r="DI202" s="14"/>
      <c r="DJ202" s="14"/>
      <c r="DK202" s="14"/>
      <c r="DL202" s="14"/>
      <c r="DM202" s="14"/>
      <c r="DN202" s="14"/>
      <c r="DO202" s="14"/>
      <c r="DP202" s="14"/>
      <c r="DQ202" s="14"/>
      <c r="DR202" s="14"/>
      <c r="DS202" s="14"/>
      <c r="DT202" s="14"/>
      <c r="DU202" s="14"/>
      <c r="DV202" s="14"/>
      <c r="DW202" s="14"/>
      <c r="DX202" s="14"/>
      <c r="DY202" s="14"/>
      <c r="DZ202" s="14"/>
      <c r="EA202" s="14"/>
      <c r="EB202" s="14"/>
      <c r="EC202" s="14"/>
      <c r="ED202" s="14"/>
      <c r="EE202" s="14"/>
      <c r="EF202" s="14"/>
      <c r="EG202" s="14"/>
      <c r="EH202" s="14"/>
      <c r="EI202" s="14"/>
      <c r="EJ202" s="14"/>
      <c r="EK202" s="14"/>
      <c r="EL202" s="14"/>
      <c r="EM202" s="14"/>
      <c r="EN202" s="14"/>
      <c r="EO202" s="14"/>
      <c r="EP202" s="14"/>
      <c r="EQ202" s="14"/>
      <c r="ER202" s="14"/>
      <c r="ES202" s="14"/>
      <c r="ET202" s="14"/>
      <c r="EU202" s="14"/>
      <c r="EV202" s="14"/>
      <c r="EW202" s="14"/>
      <c r="EX202" s="14"/>
      <c r="EY202" s="14"/>
      <c r="EZ202" s="14"/>
      <c r="FA202" s="14"/>
      <c r="FB202" s="14"/>
      <c r="FC202" s="14"/>
      <c r="FD202" s="14"/>
      <c r="FE202" s="14"/>
      <c r="FF202" s="14"/>
      <c r="FG202" s="14"/>
      <c r="FH202" s="14"/>
      <c r="FI202" s="14"/>
      <c r="FJ202" s="14"/>
      <c r="FK202" s="14"/>
      <c r="FL202" s="14"/>
      <c r="FM202" s="14"/>
      <c r="FN202" s="14"/>
      <c r="FO202" s="14"/>
      <c r="FP202" s="14"/>
      <c r="FQ202" s="14"/>
      <c r="FR202" s="14"/>
      <c r="FS202" s="14"/>
      <c r="FT202" s="14"/>
      <c r="FU202" s="14"/>
      <c r="FV202" s="14"/>
      <c r="FW202" s="14"/>
      <c r="FX202" s="14"/>
      <c r="FY202" s="14"/>
      <c r="FZ202" s="14"/>
      <c r="GA202" s="14"/>
      <c r="GB202" s="14"/>
      <c r="GC202" s="14"/>
      <c r="GD202" s="14"/>
      <c r="GE202" s="14"/>
      <c r="GF202" s="14"/>
      <c r="GG202" s="14"/>
      <c r="GH202" s="14"/>
      <c r="GI202" s="14"/>
      <c r="GJ202" s="14"/>
      <c r="GK202" s="14"/>
      <c r="GL202" s="14"/>
      <c r="GM202" s="14"/>
      <c r="GN202" s="14"/>
      <c r="GO202" s="14"/>
      <c r="GP202" s="14"/>
      <c r="GQ202" s="14"/>
      <c r="GR202" s="14"/>
      <c r="GS202" s="14"/>
      <c r="GT202" s="14"/>
      <c r="GU202" s="14"/>
      <c r="GV202" s="14"/>
      <c r="GW202" s="14"/>
      <c r="GX202" s="14"/>
      <c r="GY202" s="14"/>
      <c r="GZ202" s="14"/>
      <c r="HA202" s="14"/>
      <c r="HB202" s="14"/>
      <c r="HC202" s="14"/>
      <c r="HD202" s="14"/>
      <c r="HE202" s="14"/>
      <c r="HF202" s="14"/>
      <c r="HG202" s="14"/>
      <c r="HH202" s="14"/>
      <c r="HI202" s="14"/>
      <c r="HJ202" s="14"/>
      <c r="HK202" s="14"/>
      <c r="HL202" s="14"/>
      <c r="HM202" s="14"/>
      <c r="HN202" s="14"/>
      <c r="HO202" s="14"/>
      <c r="HP202" s="14"/>
      <c r="HQ202" s="14"/>
      <c r="HR202" s="14"/>
      <c r="HS202" s="14"/>
      <c r="HT202" s="14"/>
      <c r="HU202" s="14"/>
      <c r="HV202" s="14"/>
      <c r="HW202" s="14"/>
      <c r="HX202" s="14"/>
      <c r="HY202" s="14"/>
      <c r="HZ202" s="14"/>
      <c r="IA202" s="14"/>
      <c r="IB202" s="14"/>
      <c r="IC202" s="14"/>
      <c r="ID202" s="14"/>
      <c r="IE202" s="14"/>
      <c r="IF202" s="14"/>
      <c r="IG202" s="14"/>
      <c r="IH202" s="14"/>
      <c r="II202" s="14"/>
      <c r="IJ202" s="14"/>
      <c r="IK202" s="14"/>
      <c r="IL202" s="14"/>
      <c r="IM202" s="14"/>
      <c r="IN202" s="14"/>
      <c r="IO202" s="14"/>
      <c r="IP202" s="14"/>
      <c r="IQ202" s="14"/>
      <c r="IR202" s="14"/>
      <c r="IS202" s="14"/>
      <c r="IT202" s="14"/>
      <c r="IU202" s="14"/>
      <c r="IV202" s="14"/>
      <c r="IW202" s="14"/>
      <c r="IX202" s="14"/>
      <c r="IY202" s="14"/>
      <c r="IZ202" s="14"/>
      <c r="JA202" s="14"/>
      <c r="JB202" s="14"/>
      <c r="JC202" s="14"/>
      <c r="JD202" s="14"/>
      <c r="JE202" s="14"/>
      <c r="JF202" s="14"/>
      <c r="JG202" s="14"/>
      <c r="JH202" s="14"/>
      <c r="JI202" s="14"/>
      <c r="JJ202" s="14"/>
      <c r="JK202" s="14"/>
      <c r="JL202" s="14"/>
      <c r="JM202" s="14"/>
      <c r="JN202" s="14"/>
      <c r="JO202" s="14"/>
      <c r="JP202" s="14"/>
      <c r="JQ202" s="14"/>
      <c r="JR202" s="14"/>
      <c r="JS202" s="14"/>
      <c r="JT202" s="14"/>
      <c r="JU202" s="14"/>
      <c r="JV202" s="14"/>
      <c r="JW202" s="14"/>
      <c r="JX202" s="14"/>
      <c r="JY202" s="14"/>
      <c r="JZ202" s="14"/>
      <c r="KA202" s="14"/>
      <c r="KB202" s="14"/>
      <c r="KC202" s="14"/>
      <c r="KD202" s="14"/>
      <c r="KE202" s="14"/>
      <c r="KF202" s="14"/>
      <c r="KG202" s="14"/>
      <c r="KH202" s="14"/>
      <c r="KI202" s="14"/>
      <c r="KJ202" s="14"/>
      <c r="KK202" s="14"/>
      <c r="KL202" s="14"/>
      <c r="KM202" s="14"/>
      <c r="KN202" s="14"/>
      <c r="KO202" s="14"/>
      <c r="KP202" s="14"/>
      <c r="KQ202" s="14"/>
      <c r="KR202" s="14"/>
      <c r="KS202" s="14"/>
      <c r="KT202" s="14"/>
      <c r="KU202" s="14"/>
      <c r="KV202" s="14"/>
      <c r="KW202" s="14"/>
      <c r="KX202" s="14"/>
      <c r="KY202" s="14"/>
      <c r="KZ202" s="14"/>
      <c r="LA202" s="14"/>
      <c r="LB202" s="14"/>
      <c r="LC202" s="14"/>
      <c r="LD202" s="14"/>
      <c r="LE202" s="14"/>
      <c r="LF202" s="14"/>
      <c r="LG202" s="14"/>
      <c r="LH202" s="14"/>
      <c r="LI202" s="14"/>
      <c r="LJ202" s="14"/>
      <c r="LK202" s="14"/>
      <c r="LL202" s="14"/>
      <c r="LM202" s="14"/>
      <c r="LN202" s="14"/>
      <c r="LO202" s="14"/>
      <c r="LP202" s="14"/>
      <c r="LQ202" s="14"/>
      <c r="LR202" s="14"/>
      <c r="LS202" s="14"/>
      <c r="LT202" s="14"/>
      <c r="LU202" s="14"/>
      <c r="LV202" s="14"/>
      <c r="LW202" s="14"/>
      <c r="LX202" s="14"/>
      <c r="LY202" s="14"/>
      <c r="LZ202" s="14"/>
      <c r="MA202" s="14"/>
      <c r="MB202" s="14"/>
      <c r="MC202" s="14"/>
      <c r="MD202" s="14"/>
      <c r="ME202" s="14"/>
      <c r="MF202" s="14"/>
      <c r="MG202" s="14"/>
      <c r="MH202" s="14"/>
      <c r="MI202" s="14"/>
      <c r="MJ202" s="14"/>
      <c r="MK202" s="14"/>
      <c r="ML202" s="14"/>
      <c r="MM202" s="14"/>
      <c r="MN202" s="14"/>
      <c r="MO202" s="14"/>
      <c r="MP202" s="14"/>
      <c r="MQ202" s="14"/>
      <c r="MR202" s="14"/>
      <c r="MS202" s="14"/>
      <c r="MT202" s="14"/>
      <c r="MU202" s="14"/>
      <c r="MV202" s="14"/>
      <c r="MW202" s="14"/>
      <c r="MX202" s="14"/>
      <c r="MY202" s="14"/>
      <c r="MZ202" s="14"/>
      <c r="NA202" s="14"/>
      <c r="NB202" s="14"/>
      <c r="NC202" s="14"/>
      <c r="ND202" s="14"/>
      <c r="NE202" s="14"/>
      <c r="NF202" s="14"/>
      <c r="NG202" s="14"/>
      <c r="NH202" s="14"/>
      <c r="NI202" s="14"/>
      <c r="NJ202" s="14"/>
      <c r="NK202" s="14"/>
      <c r="NL202" s="14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</row>
    <row r="203" ht="13.5" customHeight="1">
      <c r="A203" s="2"/>
      <c r="B203" s="22"/>
      <c r="C203" s="2"/>
      <c r="D203" s="13"/>
      <c r="E203" s="3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4"/>
      <c r="DF203" s="14"/>
      <c r="DG203" s="14"/>
      <c r="DH203" s="14"/>
      <c r="DI203" s="14"/>
      <c r="DJ203" s="14"/>
      <c r="DK203" s="14"/>
      <c r="DL203" s="14"/>
      <c r="DM203" s="14"/>
      <c r="DN203" s="14"/>
      <c r="DO203" s="14"/>
      <c r="DP203" s="14"/>
      <c r="DQ203" s="14"/>
      <c r="DR203" s="14"/>
      <c r="DS203" s="14"/>
      <c r="DT203" s="14"/>
      <c r="DU203" s="14"/>
      <c r="DV203" s="14"/>
      <c r="DW203" s="14"/>
      <c r="DX203" s="14"/>
      <c r="DY203" s="14"/>
      <c r="DZ203" s="14"/>
      <c r="EA203" s="14"/>
      <c r="EB203" s="14"/>
      <c r="EC203" s="14"/>
      <c r="ED203" s="14"/>
      <c r="EE203" s="14"/>
      <c r="EF203" s="14"/>
      <c r="EG203" s="14"/>
      <c r="EH203" s="14"/>
      <c r="EI203" s="14"/>
      <c r="EJ203" s="14"/>
      <c r="EK203" s="14"/>
      <c r="EL203" s="14"/>
      <c r="EM203" s="14"/>
      <c r="EN203" s="14"/>
      <c r="EO203" s="14"/>
      <c r="EP203" s="14"/>
      <c r="EQ203" s="14"/>
      <c r="ER203" s="14"/>
      <c r="ES203" s="14"/>
      <c r="ET203" s="14"/>
      <c r="EU203" s="14"/>
      <c r="EV203" s="14"/>
      <c r="EW203" s="14"/>
      <c r="EX203" s="14"/>
      <c r="EY203" s="14"/>
      <c r="EZ203" s="14"/>
      <c r="FA203" s="14"/>
      <c r="FB203" s="14"/>
      <c r="FC203" s="14"/>
      <c r="FD203" s="14"/>
      <c r="FE203" s="14"/>
      <c r="FF203" s="14"/>
      <c r="FG203" s="14"/>
      <c r="FH203" s="14"/>
      <c r="FI203" s="14"/>
      <c r="FJ203" s="14"/>
      <c r="FK203" s="14"/>
      <c r="FL203" s="14"/>
      <c r="FM203" s="14"/>
      <c r="FN203" s="14"/>
      <c r="FO203" s="14"/>
      <c r="FP203" s="14"/>
      <c r="FQ203" s="14"/>
      <c r="FR203" s="14"/>
      <c r="FS203" s="14"/>
      <c r="FT203" s="14"/>
      <c r="FU203" s="14"/>
      <c r="FV203" s="14"/>
      <c r="FW203" s="14"/>
      <c r="FX203" s="14"/>
      <c r="FY203" s="14"/>
      <c r="FZ203" s="14"/>
      <c r="GA203" s="14"/>
      <c r="GB203" s="14"/>
      <c r="GC203" s="14"/>
      <c r="GD203" s="14"/>
      <c r="GE203" s="14"/>
      <c r="GF203" s="14"/>
      <c r="GG203" s="14"/>
      <c r="GH203" s="14"/>
      <c r="GI203" s="14"/>
      <c r="GJ203" s="14"/>
      <c r="GK203" s="14"/>
      <c r="GL203" s="14"/>
      <c r="GM203" s="14"/>
      <c r="GN203" s="14"/>
      <c r="GO203" s="14"/>
      <c r="GP203" s="14"/>
      <c r="GQ203" s="14"/>
      <c r="GR203" s="14"/>
      <c r="GS203" s="14"/>
      <c r="GT203" s="14"/>
      <c r="GU203" s="14"/>
      <c r="GV203" s="14"/>
      <c r="GW203" s="14"/>
      <c r="GX203" s="14"/>
      <c r="GY203" s="14"/>
      <c r="GZ203" s="14"/>
      <c r="HA203" s="14"/>
      <c r="HB203" s="14"/>
      <c r="HC203" s="14"/>
      <c r="HD203" s="14"/>
      <c r="HE203" s="14"/>
      <c r="HF203" s="14"/>
      <c r="HG203" s="14"/>
      <c r="HH203" s="14"/>
      <c r="HI203" s="14"/>
      <c r="HJ203" s="14"/>
      <c r="HK203" s="14"/>
      <c r="HL203" s="14"/>
      <c r="HM203" s="14"/>
      <c r="HN203" s="14"/>
      <c r="HO203" s="14"/>
      <c r="HP203" s="14"/>
      <c r="HQ203" s="14"/>
      <c r="HR203" s="14"/>
      <c r="HS203" s="14"/>
      <c r="HT203" s="14"/>
      <c r="HU203" s="14"/>
      <c r="HV203" s="14"/>
      <c r="HW203" s="14"/>
      <c r="HX203" s="14"/>
      <c r="HY203" s="14"/>
      <c r="HZ203" s="14"/>
      <c r="IA203" s="14"/>
      <c r="IB203" s="14"/>
      <c r="IC203" s="14"/>
      <c r="ID203" s="14"/>
      <c r="IE203" s="14"/>
      <c r="IF203" s="14"/>
      <c r="IG203" s="14"/>
      <c r="IH203" s="14"/>
      <c r="II203" s="14"/>
      <c r="IJ203" s="14"/>
      <c r="IK203" s="14"/>
      <c r="IL203" s="14"/>
      <c r="IM203" s="14"/>
      <c r="IN203" s="14"/>
      <c r="IO203" s="14"/>
      <c r="IP203" s="14"/>
      <c r="IQ203" s="14"/>
      <c r="IR203" s="14"/>
      <c r="IS203" s="14"/>
      <c r="IT203" s="14"/>
      <c r="IU203" s="14"/>
      <c r="IV203" s="14"/>
      <c r="IW203" s="14"/>
      <c r="IX203" s="14"/>
      <c r="IY203" s="14"/>
      <c r="IZ203" s="14"/>
      <c r="JA203" s="14"/>
      <c r="JB203" s="14"/>
      <c r="JC203" s="14"/>
      <c r="JD203" s="14"/>
      <c r="JE203" s="14"/>
      <c r="JF203" s="14"/>
      <c r="JG203" s="14"/>
      <c r="JH203" s="14"/>
      <c r="JI203" s="14"/>
      <c r="JJ203" s="14"/>
      <c r="JK203" s="14"/>
      <c r="JL203" s="14"/>
      <c r="JM203" s="14"/>
      <c r="JN203" s="14"/>
      <c r="JO203" s="14"/>
      <c r="JP203" s="14"/>
      <c r="JQ203" s="14"/>
      <c r="JR203" s="14"/>
      <c r="JS203" s="14"/>
      <c r="JT203" s="14"/>
      <c r="JU203" s="14"/>
      <c r="JV203" s="14"/>
      <c r="JW203" s="14"/>
      <c r="JX203" s="14"/>
      <c r="JY203" s="14"/>
      <c r="JZ203" s="14"/>
      <c r="KA203" s="14"/>
      <c r="KB203" s="14"/>
      <c r="KC203" s="14"/>
      <c r="KD203" s="14"/>
      <c r="KE203" s="14"/>
      <c r="KF203" s="14"/>
      <c r="KG203" s="14"/>
      <c r="KH203" s="14"/>
      <c r="KI203" s="14"/>
      <c r="KJ203" s="14"/>
      <c r="KK203" s="14"/>
      <c r="KL203" s="14"/>
      <c r="KM203" s="14"/>
      <c r="KN203" s="14"/>
      <c r="KO203" s="14"/>
      <c r="KP203" s="14"/>
      <c r="KQ203" s="14"/>
      <c r="KR203" s="14"/>
      <c r="KS203" s="14"/>
      <c r="KT203" s="14"/>
      <c r="KU203" s="14"/>
      <c r="KV203" s="14"/>
      <c r="KW203" s="14"/>
      <c r="KX203" s="14"/>
      <c r="KY203" s="14"/>
      <c r="KZ203" s="14"/>
      <c r="LA203" s="14"/>
      <c r="LB203" s="14"/>
      <c r="LC203" s="14"/>
      <c r="LD203" s="14"/>
      <c r="LE203" s="14"/>
      <c r="LF203" s="14"/>
      <c r="LG203" s="14"/>
      <c r="LH203" s="14"/>
      <c r="LI203" s="14"/>
      <c r="LJ203" s="14"/>
      <c r="LK203" s="14"/>
      <c r="LL203" s="14"/>
      <c r="LM203" s="14"/>
      <c r="LN203" s="14"/>
      <c r="LO203" s="14"/>
      <c r="LP203" s="14"/>
      <c r="LQ203" s="14"/>
      <c r="LR203" s="14"/>
      <c r="LS203" s="14"/>
      <c r="LT203" s="14"/>
      <c r="LU203" s="14"/>
      <c r="LV203" s="14"/>
      <c r="LW203" s="14"/>
      <c r="LX203" s="14"/>
      <c r="LY203" s="14"/>
      <c r="LZ203" s="14"/>
      <c r="MA203" s="14"/>
      <c r="MB203" s="14"/>
      <c r="MC203" s="14"/>
      <c r="MD203" s="14"/>
      <c r="ME203" s="14"/>
      <c r="MF203" s="14"/>
      <c r="MG203" s="14"/>
      <c r="MH203" s="14"/>
      <c r="MI203" s="14"/>
      <c r="MJ203" s="14"/>
      <c r="MK203" s="14"/>
      <c r="ML203" s="14"/>
      <c r="MM203" s="14"/>
      <c r="MN203" s="14"/>
      <c r="MO203" s="14"/>
      <c r="MP203" s="14"/>
      <c r="MQ203" s="14"/>
      <c r="MR203" s="14"/>
      <c r="MS203" s="14"/>
      <c r="MT203" s="14"/>
      <c r="MU203" s="14"/>
      <c r="MV203" s="14"/>
      <c r="MW203" s="14"/>
      <c r="MX203" s="14"/>
      <c r="MY203" s="14"/>
      <c r="MZ203" s="14"/>
      <c r="NA203" s="14"/>
      <c r="NB203" s="14"/>
      <c r="NC203" s="14"/>
      <c r="ND203" s="14"/>
      <c r="NE203" s="14"/>
      <c r="NF203" s="14"/>
      <c r="NG203" s="14"/>
      <c r="NH203" s="14"/>
      <c r="NI203" s="14"/>
      <c r="NJ203" s="14"/>
      <c r="NK203" s="14"/>
      <c r="NL203" s="14"/>
      <c r="NM203" s="3"/>
      <c r="NN203" s="3"/>
      <c r="NO203" s="3"/>
      <c r="NP203" s="3"/>
      <c r="NQ203" s="3"/>
      <c r="NR203" s="3"/>
      <c r="NS203" s="3"/>
      <c r="NT203" s="3"/>
      <c r="NU203" s="3"/>
      <c r="NV203" s="3"/>
      <c r="NW203" s="3"/>
      <c r="NX203" s="3"/>
      <c r="NY203" s="3"/>
      <c r="NZ203" s="3"/>
      <c r="OA203" s="3"/>
      <c r="OB203" s="3"/>
      <c r="OC203" s="3"/>
      <c r="OD203" s="3"/>
      <c r="OE203" s="3"/>
      <c r="OF203" s="3"/>
    </row>
    <row r="204" ht="13.5" customHeight="1">
      <c r="A204" s="2"/>
      <c r="B204" s="22"/>
      <c r="C204" s="2"/>
      <c r="D204" s="13"/>
      <c r="E204" s="3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  <c r="DD204" s="14"/>
      <c r="DE204" s="14"/>
      <c r="DF204" s="14"/>
      <c r="DG204" s="14"/>
      <c r="DH204" s="14"/>
      <c r="DI204" s="14"/>
      <c r="DJ204" s="14"/>
      <c r="DK204" s="14"/>
      <c r="DL204" s="14"/>
      <c r="DM204" s="14"/>
      <c r="DN204" s="14"/>
      <c r="DO204" s="14"/>
      <c r="DP204" s="14"/>
      <c r="DQ204" s="14"/>
      <c r="DR204" s="14"/>
      <c r="DS204" s="14"/>
      <c r="DT204" s="14"/>
      <c r="DU204" s="14"/>
      <c r="DV204" s="14"/>
      <c r="DW204" s="14"/>
      <c r="DX204" s="14"/>
      <c r="DY204" s="14"/>
      <c r="DZ204" s="14"/>
      <c r="EA204" s="14"/>
      <c r="EB204" s="14"/>
      <c r="EC204" s="14"/>
      <c r="ED204" s="14"/>
      <c r="EE204" s="14"/>
      <c r="EF204" s="14"/>
      <c r="EG204" s="14"/>
      <c r="EH204" s="14"/>
      <c r="EI204" s="14"/>
      <c r="EJ204" s="14"/>
      <c r="EK204" s="14"/>
      <c r="EL204" s="14"/>
      <c r="EM204" s="14"/>
      <c r="EN204" s="14"/>
      <c r="EO204" s="14"/>
      <c r="EP204" s="14"/>
      <c r="EQ204" s="14"/>
      <c r="ER204" s="14"/>
      <c r="ES204" s="14"/>
      <c r="ET204" s="14"/>
      <c r="EU204" s="14"/>
      <c r="EV204" s="14"/>
      <c r="EW204" s="14"/>
      <c r="EX204" s="14"/>
      <c r="EY204" s="14"/>
      <c r="EZ204" s="14"/>
      <c r="FA204" s="14"/>
      <c r="FB204" s="14"/>
      <c r="FC204" s="14"/>
      <c r="FD204" s="14"/>
      <c r="FE204" s="14"/>
      <c r="FF204" s="14"/>
      <c r="FG204" s="14"/>
      <c r="FH204" s="14"/>
      <c r="FI204" s="14"/>
      <c r="FJ204" s="14"/>
      <c r="FK204" s="14"/>
      <c r="FL204" s="14"/>
      <c r="FM204" s="14"/>
      <c r="FN204" s="14"/>
      <c r="FO204" s="14"/>
      <c r="FP204" s="14"/>
      <c r="FQ204" s="14"/>
      <c r="FR204" s="14"/>
      <c r="FS204" s="14"/>
      <c r="FT204" s="14"/>
      <c r="FU204" s="14"/>
      <c r="FV204" s="14"/>
      <c r="FW204" s="14"/>
      <c r="FX204" s="14"/>
      <c r="FY204" s="14"/>
      <c r="FZ204" s="14"/>
      <c r="GA204" s="14"/>
      <c r="GB204" s="14"/>
      <c r="GC204" s="14"/>
      <c r="GD204" s="14"/>
      <c r="GE204" s="14"/>
      <c r="GF204" s="14"/>
      <c r="GG204" s="14"/>
      <c r="GH204" s="14"/>
      <c r="GI204" s="14"/>
      <c r="GJ204" s="14"/>
      <c r="GK204" s="14"/>
      <c r="GL204" s="14"/>
      <c r="GM204" s="14"/>
      <c r="GN204" s="14"/>
      <c r="GO204" s="14"/>
      <c r="GP204" s="14"/>
      <c r="GQ204" s="14"/>
      <c r="GR204" s="14"/>
      <c r="GS204" s="14"/>
      <c r="GT204" s="14"/>
      <c r="GU204" s="14"/>
      <c r="GV204" s="14"/>
      <c r="GW204" s="14"/>
      <c r="GX204" s="14"/>
      <c r="GY204" s="14"/>
      <c r="GZ204" s="14"/>
      <c r="HA204" s="14"/>
      <c r="HB204" s="14"/>
      <c r="HC204" s="14"/>
      <c r="HD204" s="14"/>
      <c r="HE204" s="14"/>
      <c r="HF204" s="14"/>
      <c r="HG204" s="14"/>
      <c r="HH204" s="14"/>
      <c r="HI204" s="14"/>
      <c r="HJ204" s="14"/>
      <c r="HK204" s="14"/>
      <c r="HL204" s="14"/>
      <c r="HM204" s="14"/>
      <c r="HN204" s="14"/>
      <c r="HO204" s="14"/>
      <c r="HP204" s="14"/>
      <c r="HQ204" s="14"/>
      <c r="HR204" s="14"/>
      <c r="HS204" s="14"/>
      <c r="HT204" s="14"/>
      <c r="HU204" s="14"/>
      <c r="HV204" s="14"/>
      <c r="HW204" s="14"/>
      <c r="HX204" s="14"/>
      <c r="HY204" s="14"/>
      <c r="HZ204" s="14"/>
      <c r="IA204" s="14"/>
      <c r="IB204" s="14"/>
      <c r="IC204" s="14"/>
      <c r="ID204" s="14"/>
      <c r="IE204" s="14"/>
      <c r="IF204" s="14"/>
      <c r="IG204" s="14"/>
      <c r="IH204" s="14"/>
      <c r="II204" s="14"/>
      <c r="IJ204" s="14"/>
      <c r="IK204" s="14"/>
      <c r="IL204" s="14"/>
      <c r="IM204" s="14"/>
      <c r="IN204" s="14"/>
      <c r="IO204" s="14"/>
      <c r="IP204" s="14"/>
      <c r="IQ204" s="14"/>
      <c r="IR204" s="14"/>
      <c r="IS204" s="14"/>
      <c r="IT204" s="14"/>
      <c r="IU204" s="14"/>
      <c r="IV204" s="14"/>
      <c r="IW204" s="14"/>
      <c r="IX204" s="14"/>
      <c r="IY204" s="14"/>
      <c r="IZ204" s="14"/>
      <c r="JA204" s="14"/>
      <c r="JB204" s="14"/>
      <c r="JC204" s="14"/>
      <c r="JD204" s="14"/>
      <c r="JE204" s="14"/>
      <c r="JF204" s="14"/>
      <c r="JG204" s="14"/>
      <c r="JH204" s="14"/>
      <c r="JI204" s="14"/>
      <c r="JJ204" s="14"/>
      <c r="JK204" s="14"/>
      <c r="JL204" s="14"/>
      <c r="JM204" s="14"/>
      <c r="JN204" s="14"/>
      <c r="JO204" s="14"/>
      <c r="JP204" s="14"/>
      <c r="JQ204" s="14"/>
      <c r="JR204" s="14"/>
      <c r="JS204" s="14"/>
      <c r="JT204" s="14"/>
      <c r="JU204" s="14"/>
      <c r="JV204" s="14"/>
      <c r="JW204" s="14"/>
      <c r="JX204" s="14"/>
      <c r="JY204" s="14"/>
      <c r="JZ204" s="14"/>
      <c r="KA204" s="14"/>
      <c r="KB204" s="14"/>
      <c r="KC204" s="14"/>
      <c r="KD204" s="14"/>
      <c r="KE204" s="14"/>
      <c r="KF204" s="14"/>
      <c r="KG204" s="14"/>
      <c r="KH204" s="14"/>
      <c r="KI204" s="14"/>
      <c r="KJ204" s="14"/>
      <c r="KK204" s="14"/>
      <c r="KL204" s="14"/>
      <c r="KM204" s="14"/>
      <c r="KN204" s="14"/>
      <c r="KO204" s="14"/>
      <c r="KP204" s="14"/>
      <c r="KQ204" s="14"/>
      <c r="KR204" s="14"/>
      <c r="KS204" s="14"/>
      <c r="KT204" s="14"/>
      <c r="KU204" s="14"/>
      <c r="KV204" s="14"/>
      <c r="KW204" s="14"/>
      <c r="KX204" s="14"/>
      <c r="KY204" s="14"/>
      <c r="KZ204" s="14"/>
      <c r="LA204" s="14"/>
      <c r="LB204" s="14"/>
      <c r="LC204" s="14"/>
      <c r="LD204" s="14"/>
      <c r="LE204" s="14"/>
      <c r="LF204" s="14"/>
      <c r="LG204" s="14"/>
      <c r="LH204" s="14"/>
      <c r="LI204" s="14"/>
      <c r="LJ204" s="14"/>
      <c r="LK204" s="14"/>
      <c r="LL204" s="14"/>
      <c r="LM204" s="14"/>
      <c r="LN204" s="14"/>
      <c r="LO204" s="14"/>
      <c r="LP204" s="14"/>
      <c r="LQ204" s="14"/>
      <c r="LR204" s="14"/>
      <c r="LS204" s="14"/>
      <c r="LT204" s="14"/>
      <c r="LU204" s="14"/>
      <c r="LV204" s="14"/>
      <c r="LW204" s="14"/>
      <c r="LX204" s="14"/>
      <c r="LY204" s="14"/>
      <c r="LZ204" s="14"/>
      <c r="MA204" s="14"/>
      <c r="MB204" s="14"/>
      <c r="MC204" s="14"/>
      <c r="MD204" s="14"/>
      <c r="ME204" s="14"/>
      <c r="MF204" s="14"/>
      <c r="MG204" s="14"/>
      <c r="MH204" s="14"/>
      <c r="MI204" s="14"/>
      <c r="MJ204" s="14"/>
      <c r="MK204" s="14"/>
      <c r="ML204" s="14"/>
      <c r="MM204" s="14"/>
      <c r="MN204" s="14"/>
      <c r="MO204" s="14"/>
      <c r="MP204" s="14"/>
      <c r="MQ204" s="14"/>
      <c r="MR204" s="14"/>
      <c r="MS204" s="14"/>
      <c r="MT204" s="14"/>
      <c r="MU204" s="14"/>
      <c r="MV204" s="14"/>
      <c r="MW204" s="14"/>
      <c r="MX204" s="14"/>
      <c r="MY204" s="14"/>
      <c r="MZ204" s="14"/>
      <c r="NA204" s="14"/>
      <c r="NB204" s="14"/>
      <c r="NC204" s="14"/>
      <c r="ND204" s="14"/>
      <c r="NE204" s="14"/>
      <c r="NF204" s="14"/>
      <c r="NG204" s="14"/>
      <c r="NH204" s="14"/>
      <c r="NI204" s="14"/>
      <c r="NJ204" s="14"/>
      <c r="NK204" s="14"/>
      <c r="NL204" s="14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</row>
    <row r="205" ht="13.5" customHeight="1">
      <c r="A205" s="2"/>
      <c r="B205" s="22"/>
      <c r="C205" s="2"/>
      <c r="D205" s="13"/>
      <c r="E205" s="3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4"/>
      <c r="DF205" s="14"/>
      <c r="DG205" s="14"/>
      <c r="DH205" s="14"/>
      <c r="DI205" s="14"/>
      <c r="DJ205" s="14"/>
      <c r="DK205" s="14"/>
      <c r="DL205" s="14"/>
      <c r="DM205" s="14"/>
      <c r="DN205" s="14"/>
      <c r="DO205" s="14"/>
      <c r="DP205" s="14"/>
      <c r="DQ205" s="14"/>
      <c r="DR205" s="14"/>
      <c r="DS205" s="14"/>
      <c r="DT205" s="14"/>
      <c r="DU205" s="14"/>
      <c r="DV205" s="14"/>
      <c r="DW205" s="14"/>
      <c r="DX205" s="14"/>
      <c r="DY205" s="14"/>
      <c r="DZ205" s="14"/>
      <c r="EA205" s="14"/>
      <c r="EB205" s="14"/>
      <c r="EC205" s="14"/>
      <c r="ED205" s="14"/>
      <c r="EE205" s="14"/>
      <c r="EF205" s="14"/>
      <c r="EG205" s="14"/>
      <c r="EH205" s="14"/>
      <c r="EI205" s="14"/>
      <c r="EJ205" s="14"/>
      <c r="EK205" s="14"/>
      <c r="EL205" s="14"/>
      <c r="EM205" s="14"/>
      <c r="EN205" s="14"/>
      <c r="EO205" s="14"/>
      <c r="EP205" s="14"/>
      <c r="EQ205" s="14"/>
      <c r="ER205" s="14"/>
      <c r="ES205" s="14"/>
      <c r="ET205" s="14"/>
      <c r="EU205" s="14"/>
      <c r="EV205" s="14"/>
      <c r="EW205" s="14"/>
      <c r="EX205" s="14"/>
      <c r="EY205" s="14"/>
      <c r="EZ205" s="14"/>
      <c r="FA205" s="14"/>
      <c r="FB205" s="14"/>
      <c r="FC205" s="14"/>
      <c r="FD205" s="14"/>
      <c r="FE205" s="14"/>
      <c r="FF205" s="14"/>
      <c r="FG205" s="14"/>
      <c r="FH205" s="14"/>
      <c r="FI205" s="14"/>
      <c r="FJ205" s="14"/>
      <c r="FK205" s="14"/>
      <c r="FL205" s="14"/>
      <c r="FM205" s="14"/>
      <c r="FN205" s="14"/>
      <c r="FO205" s="14"/>
      <c r="FP205" s="14"/>
      <c r="FQ205" s="14"/>
      <c r="FR205" s="14"/>
      <c r="FS205" s="14"/>
      <c r="FT205" s="14"/>
      <c r="FU205" s="14"/>
      <c r="FV205" s="14"/>
      <c r="FW205" s="14"/>
      <c r="FX205" s="14"/>
      <c r="FY205" s="14"/>
      <c r="FZ205" s="14"/>
      <c r="GA205" s="14"/>
      <c r="GB205" s="14"/>
      <c r="GC205" s="14"/>
      <c r="GD205" s="14"/>
      <c r="GE205" s="14"/>
      <c r="GF205" s="14"/>
      <c r="GG205" s="14"/>
      <c r="GH205" s="14"/>
      <c r="GI205" s="14"/>
      <c r="GJ205" s="14"/>
      <c r="GK205" s="14"/>
      <c r="GL205" s="14"/>
      <c r="GM205" s="14"/>
      <c r="GN205" s="14"/>
      <c r="GO205" s="14"/>
      <c r="GP205" s="14"/>
      <c r="GQ205" s="14"/>
      <c r="GR205" s="14"/>
      <c r="GS205" s="14"/>
      <c r="GT205" s="14"/>
      <c r="GU205" s="14"/>
      <c r="GV205" s="14"/>
      <c r="GW205" s="14"/>
      <c r="GX205" s="14"/>
      <c r="GY205" s="14"/>
      <c r="GZ205" s="14"/>
      <c r="HA205" s="14"/>
      <c r="HB205" s="14"/>
      <c r="HC205" s="14"/>
      <c r="HD205" s="14"/>
      <c r="HE205" s="14"/>
      <c r="HF205" s="14"/>
      <c r="HG205" s="14"/>
      <c r="HH205" s="14"/>
      <c r="HI205" s="14"/>
      <c r="HJ205" s="14"/>
      <c r="HK205" s="14"/>
      <c r="HL205" s="14"/>
      <c r="HM205" s="14"/>
      <c r="HN205" s="14"/>
      <c r="HO205" s="14"/>
      <c r="HP205" s="14"/>
      <c r="HQ205" s="14"/>
      <c r="HR205" s="14"/>
      <c r="HS205" s="14"/>
      <c r="HT205" s="14"/>
      <c r="HU205" s="14"/>
      <c r="HV205" s="14"/>
      <c r="HW205" s="14"/>
      <c r="HX205" s="14"/>
      <c r="HY205" s="14"/>
      <c r="HZ205" s="14"/>
      <c r="IA205" s="14"/>
      <c r="IB205" s="14"/>
      <c r="IC205" s="14"/>
      <c r="ID205" s="14"/>
      <c r="IE205" s="14"/>
      <c r="IF205" s="14"/>
      <c r="IG205" s="14"/>
      <c r="IH205" s="14"/>
      <c r="II205" s="14"/>
      <c r="IJ205" s="14"/>
      <c r="IK205" s="14"/>
      <c r="IL205" s="14"/>
      <c r="IM205" s="14"/>
      <c r="IN205" s="14"/>
      <c r="IO205" s="14"/>
      <c r="IP205" s="14"/>
      <c r="IQ205" s="14"/>
      <c r="IR205" s="14"/>
      <c r="IS205" s="14"/>
      <c r="IT205" s="14"/>
      <c r="IU205" s="14"/>
      <c r="IV205" s="14"/>
      <c r="IW205" s="14"/>
      <c r="IX205" s="14"/>
      <c r="IY205" s="14"/>
      <c r="IZ205" s="14"/>
      <c r="JA205" s="14"/>
      <c r="JB205" s="14"/>
      <c r="JC205" s="14"/>
      <c r="JD205" s="14"/>
      <c r="JE205" s="14"/>
      <c r="JF205" s="14"/>
      <c r="JG205" s="14"/>
      <c r="JH205" s="14"/>
      <c r="JI205" s="14"/>
      <c r="JJ205" s="14"/>
      <c r="JK205" s="14"/>
      <c r="JL205" s="14"/>
      <c r="JM205" s="14"/>
      <c r="JN205" s="14"/>
      <c r="JO205" s="14"/>
      <c r="JP205" s="14"/>
      <c r="JQ205" s="14"/>
      <c r="JR205" s="14"/>
      <c r="JS205" s="14"/>
      <c r="JT205" s="14"/>
      <c r="JU205" s="14"/>
      <c r="JV205" s="14"/>
      <c r="JW205" s="14"/>
      <c r="JX205" s="14"/>
      <c r="JY205" s="14"/>
      <c r="JZ205" s="14"/>
      <c r="KA205" s="14"/>
      <c r="KB205" s="14"/>
      <c r="KC205" s="14"/>
      <c r="KD205" s="14"/>
      <c r="KE205" s="14"/>
      <c r="KF205" s="14"/>
      <c r="KG205" s="14"/>
      <c r="KH205" s="14"/>
      <c r="KI205" s="14"/>
      <c r="KJ205" s="14"/>
      <c r="KK205" s="14"/>
      <c r="KL205" s="14"/>
      <c r="KM205" s="14"/>
      <c r="KN205" s="14"/>
      <c r="KO205" s="14"/>
      <c r="KP205" s="14"/>
      <c r="KQ205" s="14"/>
      <c r="KR205" s="14"/>
      <c r="KS205" s="14"/>
      <c r="KT205" s="14"/>
      <c r="KU205" s="14"/>
      <c r="KV205" s="14"/>
      <c r="KW205" s="14"/>
      <c r="KX205" s="14"/>
      <c r="KY205" s="14"/>
      <c r="KZ205" s="14"/>
      <c r="LA205" s="14"/>
      <c r="LB205" s="14"/>
      <c r="LC205" s="14"/>
      <c r="LD205" s="14"/>
      <c r="LE205" s="14"/>
      <c r="LF205" s="14"/>
      <c r="LG205" s="14"/>
      <c r="LH205" s="14"/>
      <c r="LI205" s="14"/>
      <c r="LJ205" s="14"/>
      <c r="LK205" s="14"/>
      <c r="LL205" s="14"/>
      <c r="LM205" s="14"/>
      <c r="LN205" s="14"/>
      <c r="LO205" s="14"/>
      <c r="LP205" s="14"/>
      <c r="LQ205" s="14"/>
      <c r="LR205" s="14"/>
      <c r="LS205" s="14"/>
      <c r="LT205" s="14"/>
      <c r="LU205" s="14"/>
      <c r="LV205" s="14"/>
      <c r="LW205" s="14"/>
      <c r="LX205" s="14"/>
      <c r="LY205" s="14"/>
      <c r="LZ205" s="14"/>
      <c r="MA205" s="14"/>
      <c r="MB205" s="14"/>
      <c r="MC205" s="14"/>
      <c r="MD205" s="14"/>
      <c r="ME205" s="14"/>
      <c r="MF205" s="14"/>
      <c r="MG205" s="14"/>
      <c r="MH205" s="14"/>
      <c r="MI205" s="14"/>
      <c r="MJ205" s="14"/>
      <c r="MK205" s="14"/>
      <c r="ML205" s="14"/>
      <c r="MM205" s="14"/>
      <c r="MN205" s="14"/>
      <c r="MO205" s="14"/>
      <c r="MP205" s="14"/>
      <c r="MQ205" s="14"/>
      <c r="MR205" s="14"/>
      <c r="MS205" s="14"/>
      <c r="MT205" s="14"/>
      <c r="MU205" s="14"/>
      <c r="MV205" s="14"/>
      <c r="MW205" s="14"/>
      <c r="MX205" s="14"/>
      <c r="MY205" s="14"/>
      <c r="MZ205" s="14"/>
      <c r="NA205" s="14"/>
      <c r="NB205" s="14"/>
      <c r="NC205" s="14"/>
      <c r="ND205" s="14"/>
      <c r="NE205" s="14"/>
      <c r="NF205" s="14"/>
      <c r="NG205" s="14"/>
      <c r="NH205" s="14"/>
      <c r="NI205" s="14"/>
      <c r="NJ205" s="14"/>
      <c r="NK205" s="14"/>
      <c r="NL205" s="14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</row>
    <row r="206" ht="13.5" customHeight="1">
      <c r="A206" s="2"/>
      <c r="B206" s="22"/>
      <c r="C206" s="2"/>
      <c r="D206" s="13"/>
      <c r="E206" s="3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4"/>
      <c r="DF206" s="14"/>
      <c r="DG206" s="14"/>
      <c r="DH206" s="14"/>
      <c r="DI206" s="14"/>
      <c r="DJ206" s="14"/>
      <c r="DK206" s="14"/>
      <c r="DL206" s="14"/>
      <c r="DM206" s="14"/>
      <c r="DN206" s="14"/>
      <c r="DO206" s="14"/>
      <c r="DP206" s="14"/>
      <c r="DQ206" s="14"/>
      <c r="DR206" s="14"/>
      <c r="DS206" s="14"/>
      <c r="DT206" s="14"/>
      <c r="DU206" s="14"/>
      <c r="DV206" s="14"/>
      <c r="DW206" s="14"/>
      <c r="DX206" s="14"/>
      <c r="DY206" s="14"/>
      <c r="DZ206" s="14"/>
      <c r="EA206" s="14"/>
      <c r="EB206" s="14"/>
      <c r="EC206" s="14"/>
      <c r="ED206" s="14"/>
      <c r="EE206" s="14"/>
      <c r="EF206" s="14"/>
      <c r="EG206" s="14"/>
      <c r="EH206" s="14"/>
      <c r="EI206" s="14"/>
      <c r="EJ206" s="14"/>
      <c r="EK206" s="14"/>
      <c r="EL206" s="14"/>
      <c r="EM206" s="14"/>
      <c r="EN206" s="14"/>
      <c r="EO206" s="14"/>
      <c r="EP206" s="14"/>
      <c r="EQ206" s="14"/>
      <c r="ER206" s="14"/>
      <c r="ES206" s="14"/>
      <c r="ET206" s="14"/>
      <c r="EU206" s="14"/>
      <c r="EV206" s="14"/>
      <c r="EW206" s="14"/>
      <c r="EX206" s="14"/>
      <c r="EY206" s="14"/>
      <c r="EZ206" s="14"/>
      <c r="FA206" s="14"/>
      <c r="FB206" s="14"/>
      <c r="FC206" s="14"/>
      <c r="FD206" s="14"/>
      <c r="FE206" s="14"/>
      <c r="FF206" s="14"/>
      <c r="FG206" s="14"/>
      <c r="FH206" s="14"/>
      <c r="FI206" s="14"/>
      <c r="FJ206" s="14"/>
      <c r="FK206" s="14"/>
      <c r="FL206" s="14"/>
      <c r="FM206" s="14"/>
      <c r="FN206" s="14"/>
      <c r="FO206" s="14"/>
      <c r="FP206" s="14"/>
      <c r="FQ206" s="14"/>
      <c r="FR206" s="14"/>
      <c r="FS206" s="14"/>
      <c r="FT206" s="14"/>
      <c r="FU206" s="14"/>
      <c r="FV206" s="14"/>
      <c r="FW206" s="14"/>
      <c r="FX206" s="14"/>
      <c r="FY206" s="14"/>
      <c r="FZ206" s="14"/>
      <c r="GA206" s="14"/>
      <c r="GB206" s="14"/>
      <c r="GC206" s="14"/>
      <c r="GD206" s="14"/>
      <c r="GE206" s="14"/>
      <c r="GF206" s="14"/>
      <c r="GG206" s="14"/>
      <c r="GH206" s="14"/>
      <c r="GI206" s="14"/>
      <c r="GJ206" s="14"/>
      <c r="GK206" s="14"/>
      <c r="GL206" s="14"/>
      <c r="GM206" s="14"/>
      <c r="GN206" s="14"/>
      <c r="GO206" s="14"/>
      <c r="GP206" s="14"/>
      <c r="GQ206" s="14"/>
      <c r="GR206" s="14"/>
      <c r="GS206" s="14"/>
      <c r="GT206" s="14"/>
      <c r="GU206" s="14"/>
      <c r="GV206" s="14"/>
      <c r="GW206" s="14"/>
      <c r="GX206" s="14"/>
      <c r="GY206" s="14"/>
      <c r="GZ206" s="14"/>
      <c r="HA206" s="14"/>
      <c r="HB206" s="14"/>
      <c r="HC206" s="14"/>
      <c r="HD206" s="14"/>
      <c r="HE206" s="14"/>
      <c r="HF206" s="14"/>
      <c r="HG206" s="14"/>
      <c r="HH206" s="14"/>
      <c r="HI206" s="14"/>
      <c r="HJ206" s="14"/>
      <c r="HK206" s="14"/>
      <c r="HL206" s="14"/>
      <c r="HM206" s="14"/>
      <c r="HN206" s="14"/>
      <c r="HO206" s="14"/>
      <c r="HP206" s="14"/>
      <c r="HQ206" s="14"/>
      <c r="HR206" s="14"/>
      <c r="HS206" s="14"/>
      <c r="HT206" s="14"/>
      <c r="HU206" s="14"/>
      <c r="HV206" s="14"/>
      <c r="HW206" s="14"/>
      <c r="HX206" s="14"/>
      <c r="HY206" s="14"/>
      <c r="HZ206" s="14"/>
      <c r="IA206" s="14"/>
      <c r="IB206" s="14"/>
      <c r="IC206" s="14"/>
      <c r="ID206" s="14"/>
      <c r="IE206" s="14"/>
      <c r="IF206" s="14"/>
      <c r="IG206" s="14"/>
      <c r="IH206" s="14"/>
      <c r="II206" s="14"/>
      <c r="IJ206" s="14"/>
      <c r="IK206" s="14"/>
      <c r="IL206" s="14"/>
      <c r="IM206" s="14"/>
      <c r="IN206" s="14"/>
      <c r="IO206" s="14"/>
      <c r="IP206" s="14"/>
      <c r="IQ206" s="14"/>
      <c r="IR206" s="14"/>
      <c r="IS206" s="14"/>
      <c r="IT206" s="14"/>
      <c r="IU206" s="14"/>
      <c r="IV206" s="14"/>
      <c r="IW206" s="14"/>
      <c r="IX206" s="14"/>
      <c r="IY206" s="14"/>
      <c r="IZ206" s="14"/>
      <c r="JA206" s="14"/>
      <c r="JB206" s="14"/>
      <c r="JC206" s="14"/>
      <c r="JD206" s="14"/>
      <c r="JE206" s="14"/>
      <c r="JF206" s="14"/>
      <c r="JG206" s="14"/>
      <c r="JH206" s="14"/>
      <c r="JI206" s="14"/>
      <c r="JJ206" s="14"/>
      <c r="JK206" s="14"/>
      <c r="JL206" s="14"/>
      <c r="JM206" s="14"/>
      <c r="JN206" s="14"/>
      <c r="JO206" s="14"/>
      <c r="JP206" s="14"/>
      <c r="JQ206" s="14"/>
      <c r="JR206" s="14"/>
      <c r="JS206" s="14"/>
      <c r="JT206" s="14"/>
      <c r="JU206" s="14"/>
      <c r="JV206" s="14"/>
      <c r="JW206" s="14"/>
      <c r="JX206" s="14"/>
      <c r="JY206" s="14"/>
      <c r="JZ206" s="14"/>
      <c r="KA206" s="14"/>
      <c r="KB206" s="14"/>
      <c r="KC206" s="14"/>
      <c r="KD206" s="14"/>
      <c r="KE206" s="14"/>
      <c r="KF206" s="14"/>
      <c r="KG206" s="14"/>
      <c r="KH206" s="14"/>
      <c r="KI206" s="14"/>
      <c r="KJ206" s="14"/>
      <c r="KK206" s="14"/>
      <c r="KL206" s="14"/>
      <c r="KM206" s="14"/>
      <c r="KN206" s="14"/>
      <c r="KO206" s="14"/>
      <c r="KP206" s="14"/>
      <c r="KQ206" s="14"/>
      <c r="KR206" s="14"/>
      <c r="KS206" s="14"/>
      <c r="KT206" s="14"/>
      <c r="KU206" s="14"/>
      <c r="KV206" s="14"/>
      <c r="KW206" s="14"/>
      <c r="KX206" s="14"/>
      <c r="KY206" s="14"/>
      <c r="KZ206" s="14"/>
      <c r="LA206" s="14"/>
      <c r="LB206" s="14"/>
      <c r="LC206" s="14"/>
      <c r="LD206" s="14"/>
      <c r="LE206" s="14"/>
      <c r="LF206" s="14"/>
      <c r="LG206" s="14"/>
      <c r="LH206" s="14"/>
      <c r="LI206" s="14"/>
      <c r="LJ206" s="14"/>
      <c r="LK206" s="14"/>
      <c r="LL206" s="14"/>
      <c r="LM206" s="14"/>
      <c r="LN206" s="14"/>
      <c r="LO206" s="14"/>
      <c r="LP206" s="14"/>
      <c r="LQ206" s="14"/>
      <c r="LR206" s="14"/>
      <c r="LS206" s="14"/>
      <c r="LT206" s="14"/>
      <c r="LU206" s="14"/>
      <c r="LV206" s="14"/>
      <c r="LW206" s="14"/>
      <c r="LX206" s="14"/>
      <c r="LY206" s="14"/>
      <c r="LZ206" s="14"/>
      <c r="MA206" s="14"/>
      <c r="MB206" s="14"/>
      <c r="MC206" s="14"/>
      <c r="MD206" s="14"/>
      <c r="ME206" s="14"/>
      <c r="MF206" s="14"/>
      <c r="MG206" s="14"/>
      <c r="MH206" s="14"/>
      <c r="MI206" s="14"/>
      <c r="MJ206" s="14"/>
      <c r="MK206" s="14"/>
      <c r="ML206" s="14"/>
      <c r="MM206" s="14"/>
      <c r="MN206" s="14"/>
      <c r="MO206" s="14"/>
      <c r="MP206" s="14"/>
      <c r="MQ206" s="14"/>
      <c r="MR206" s="14"/>
      <c r="MS206" s="14"/>
      <c r="MT206" s="14"/>
      <c r="MU206" s="14"/>
      <c r="MV206" s="14"/>
      <c r="MW206" s="14"/>
      <c r="MX206" s="14"/>
      <c r="MY206" s="14"/>
      <c r="MZ206" s="14"/>
      <c r="NA206" s="14"/>
      <c r="NB206" s="14"/>
      <c r="NC206" s="14"/>
      <c r="ND206" s="14"/>
      <c r="NE206" s="14"/>
      <c r="NF206" s="14"/>
      <c r="NG206" s="14"/>
      <c r="NH206" s="14"/>
      <c r="NI206" s="14"/>
      <c r="NJ206" s="14"/>
      <c r="NK206" s="14"/>
      <c r="NL206" s="14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</row>
    <row r="207" ht="13.5" customHeight="1">
      <c r="A207" s="2"/>
      <c r="B207" s="22"/>
      <c r="C207" s="2"/>
      <c r="D207" s="13"/>
      <c r="E207" s="3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4"/>
      <c r="DF207" s="14"/>
      <c r="DG207" s="14"/>
      <c r="DH207" s="14"/>
      <c r="DI207" s="14"/>
      <c r="DJ207" s="14"/>
      <c r="DK207" s="14"/>
      <c r="DL207" s="14"/>
      <c r="DM207" s="14"/>
      <c r="DN207" s="14"/>
      <c r="DO207" s="14"/>
      <c r="DP207" s="14"/>
      <c r="DQ207" s="14"/>
      <c r="DR207" s="14"/>
      <c r="DS207" s="14"/>
      <c r="DT207" s="14"/>
      <c r="DU207" s="14"/>
      <c r="DV207" s="14"/>
      <c r="DW207" s="14"/>
      <c r="DX207" s="14"/>
      <c r="DY207" s="14"/>
      <c r="DZ207" s="14"/>
      <c r="EA207" s="14"/>
      <c r="EB207" s="14"/>
      <c r="EC207" s="14"/>
      <c r="ED207" s="14"/>
      <c r="EE207" s="14"/>
      <c r="EF207" s="14"/>
      <c r="EG207" s="14"/>
      <c r="EH207" s="14"/>
      <c r="EI207" s="14"/>
      <c r="EJ207" s="14"/>
      <c r="EK207" s="14"/>
      <c r="EL207" s="14"/>
      <c r="EM207" s="14"/>
      <c r="EN207" s="14"/>
      <c r="EO207" s="14"/>
      <c r="EP207" s="14"/>
      <c r="EQ207" s="14"/>
      <c r="ER207" s="14"/>
      <c r="ES207" s="14"/>
      <c r="ET207" s="14"/>
      <c r="EU207" s="14"/>
      <c r="EV207" s="14"/>
      <c r="EW207" s="14"/>
      <c r="EX207" s="14"/>
      <c r="EY207" s="14"/>
      <c r="EZ207" s="14"/>
      <c r="FA207" s="14"/>
      <c r="FB207" s="14"/>
      <c r="FC207" s="14"/>
      <c r="FD207" s="14"/>
      <c r="FE207" s="14"/>
      <c r="FF207" s="14"/>
      <c r="FG207" s="14"/>
      <c r="FH207" s="14"/>
      <c r="FI207" s="14"/>
      <c r="FJ207" s="14"/>
      <c r="FK207" s="14"/>
      <c r="FL207" s="14"/>
      <c r="FM207" s="14"/>
      <c r="FN207" s="14"/>
      <c r="FO207" s="14"/>
      <c r="FP207" s="14"/>
      <c r="FQ207" s="14"/>
      <c r="FR207" s="14"/>
      <c r="FS207" s="14"/>
      <c r="FT207" s="14"/>
      <c r="FU207" s="14"/>
      <c r="FV207" s="14"/>
      <c r="FW207" s="14"/>
      <c r="FX207" s="14"/>
      <c r="FY207" s="14"/>
      <c r="FZ207" s="14"/>
      <c r="GA207" s="14"/>
      <c r="GB207" s="14"/>
      <c r="GC207" s="14"/>
      <c r="GD207" s="14"/>
      <c r="GE207" s="14"/>
      <c r="GF207" s="14"/>
      <c r="GG207" s="14"/>
      <c r="GH207" s="14"/>
      <c r="GI207" s="14"/>
      <c r="GJ207" s="14"/>
      <c r="GK207" s="14"/>
      <c r="GL207" s="14"/>
      <c r="GM207" s="14"/>
      <c r="GN207" s="14"/>
      <c r="GO207" s="14"/>
      <c r="GP207" s="14"/>
      <c r="GQ207" s="14"/>
      <c r="GR207" s="14"/>
      <c r="GS207" s="14"/>
      <c r="GT207" s="14"/>
      <c r="GU207" s="14"/>
      <c r="GV207" s="14"/>
      <c r="GW207" s="14"/>
      <c r="GX207" s="14"/>
      <c r="GY207" s="14"/>
      <c r="GZ207" s="14"/>
      <c r="HA207" s="14"/>
      <c r="HB207" s="14"/>
      <c r="HC207" s="14"/>
      <c r="HD207" s="14"/>
      <c r="HE207" s="14"/>
      <c r="HF207" s="14"/>
      <c r="HG207" s="14"/>
      <c r="HH207" s="14"/>
      <c r="HI207" s="14"/>
      <c r="HJ207" s="14"/>
      <c r="HK207" s="14"/>
      <c r="HL207" s="14"/>
      <c r="HM207" s="14"/>
      <c r="HN207" s="14"/>
      <c r="HO207" s="14"/>
      <c r="HP207" s="14"/>
      <c r="HQ207" s="14"/>
      <c r="HR207" s="14"/>
      <c r="HS207" s="14"/>
      <c r="HT207" s="14"/>
      <c r="HU207" s="14"/>
      <c r="HV207" s="14"/>
      <c r="HW207" s="14"/>
      <c r="HX207" s="14"/>
      <c r="HY207" s="14"/>
      <c r="HZ207" s="14"/>
      <c r="IA207" s="14"/>
      <c r="IB207" s="14"/>
      <c r="IC207" s="14"/>
      <c r="ID207" s="14"/>
      <c r="IE207" s="14"/>
      <c r="IF207" s="14"/>
      <c r="IG207" s="14"/>
      <c r="IH207" s="14"/>
      <c r="II207" s="14"/>
      <c r="IJ207" s="14"/>
      <c r="IK207" s="14"/>
      <c r="IL207" s="14"/>
      <c r="IM207" s="14"/>
      <c r="IN207" s="14"/>
      <c r="IO207" s="14"/>
      <c r="IP207" s="14"/>
      <c r="IQ207" s="14"/>
      <c r="IR207" s="14"/>
      <c r="IS207" s="14"/>
      <c r="IT207" s="14"/>
      <c r="IU207" s="14"/>
      <c r="IV207" s="14"/>
      <c r="IW207" s="14"/>
      <c r="IX207" s="14"/>
      <c r="IY207" s="14"/>
      <c r="IZ207" s="14"/>
      <c r="JA207" s="14"/>
      <c r="JB207" s="14"/>
      <c r="JC207" s="14"/>
      <c r="JD207" s="14"/>
      <c r="JE207" s="14"/>
      <c r="JF207" s="14"/>
      <c r="JG207" s="14"/>
      <c r="JH207" s="14"/>
      <c r="JI207" s="14"/>
      <c r="JJ207" s="14"/>
      <c r="JK207" s="14"/>
      <c r="JL207" s="14"/>
      <c r="JM207" s="14"/>
      <c r="JN207" s="14"/>
      <c r="JO207" s="14"/>
      <c r="JP207" s="14"/>
      <c r="JQ207" s="14"/>
      <c r="JR207" s="14"/>
      <c r="JS207" s="14"/>
      <c r="JT207" s="14"/>
      <c r="JU207" s="14"/>
      <c r="JV207" s="14"/>
      <c r="JW207" s="14"/>
      <c r="JX207" s="14"/>
      <c r="JY207" s="14"/>
      <c r="JZ207" s="14"/>
      <c r="KA207" s="14"/>
      <c r="KB207" s="14"/>
      <c r="KC207" s="14"/>
      <c r="KD207" s="14"/>
      <c r="KE207" s="14"/>
      <c r="KF207" s="14"/>
      <c r="KG207" s="14"/>
      <c r="KH207" s="14"/>
      <c r="KI207" s="14"/>
      <c r="KJ207" s="14"/>
      <c r="KK207" s="14"/>
      <c r="KL207" s="14"/>
      <c r="KM207" s="14"/>
      <c r="KN207" s="14"/>
      <c r="KO207" s="14"/>
      <c r="KP207" s="14"/>
      <c r="KQ207" s="14"/>
      <c r="KR207" s="14"/>
      <c r="KS207" s="14"/>
      <c r="KT207" s="14"/>
      <c r="KU207" s="14"/>
      <c r="KV207" s="14"/>
      <c r="KW207" s="14"/>
      <c r="KX207" s="14"/>
      <c r="KY207" s="14"/>
      <c r="KZ207" s="14"/>
      <c r="LA207" s="14"/>
      <c r="LB207" s="14"/>
      <c r="LC207" s="14"/>
      <c r="LD207" s="14"/>
      <c r="LE207" s="14"/>
      <c r="LF207" s="14"/>
      <c r="LG207" s="14"/>
      <c r="LH207" s="14"/>
      <c r="LI207" s="14"/>
      <c r="LJ207" s="14"/>
      <c r="LK207" s="14"/>
      <c r="LL207" s="14"/>
      <c r="LM207" s="14"/>
      <c r="LN207" s="14"/>
      <c r="LO207" s="14"/>
      <c r="LP207" s="14"/>
      <c r="LQ207" s="14"/>
      <c r="LR207" s="14"/>
      <c r="LS207" s="14"/>
      <c r="LT207" s="14"/>
      <c r="LU207" s="14"/>
      <c r="LV207" s="14"/>
      <c r="LW207" s="14"/>
      <c r="LX207" s="14"/>
      <c r="LY207" s="14"/>
      <c r="LZ207" s="14"/>
      <c r="MA207" s="14"/>
      <c r="MB207" s="14"/>
      <c r="MC207" s="14"/>
      <c r="MD207" s="14"/>
      <c r="ME207" s="14"/>
      <c r="MF207" s="14"/>
      <c r="MG207" s="14"/>
      <c r="MH207" s="14"/>
      <c r="MI207" s="14"/>
      <c r="MJ207" s="14"/>
      <c r="MK207" s="14"/>
      <c r="ML207" s="14"/>
      <c r="MM207" s="14"/>
      <c r="MN207" s="14"/>
      <c r="MO207" s="14"/>
      <c r="MP207" s="14"/>
      <c r="MQ207" s="14"/>
      <c r="MR207" s="14"/>
      <c r="MS207" s="14"/>
      <c r="MT207" s="14"/>
      <c r="MU207" s="14"/>
      <c r="MV207" s="14"/>
      <c r="MW207" s="14"/>
      <c r="MX207" s="14"/>
      <c r="MY207" s="14"/>
      <c r="MZ207" s="14"/>
      <c r="NA207" s="14"/>
      <c r="NB207" s="14"/>
      <c r="NC207" s="14"/>
      <c r="ND207" s="14"/>
      <c r="NE207" s="14"/>
      <c r="NF207" s="14"/>
      <c r="NG207" s="14"/>
      <c r="NH207" s="14"/>
      <c r="NI207" s="14"/>
      <c r="NJ207" s="14"/>
      <c r="NK207" s="14"/>
      <c r="NL207" s="14"/>
      <c r="NM207" s="3"/>
      <c r="NN207" s="3"/>
      <c r="NO207" s="3"/>
      <c r="NP207" s="3"/>
      <c r="NQ207" s="3"/>
      <c r="NR207" s="3"/>
      <c r="NS207" s="3"/>
      <c r="NT207" s="3"/>
      <c r="NU207" s="3"/>
      <c r="NV207" s="3"/>
      <c r="NW207" s="3"/>
      <c r="NX207" s="3"/>
      <c r="NY207" s="3"/>
      <c r="NZ207" s="3"/>
      <c r="OA207" s="3"/>
      <c r="OB207" s="3"/>
      <c r="OC207" s="3"/>
      <c r="OD207" s="3"/>
      <c r="OE207" s="3"/>
      <c r="OF207" s="3"/>
    </row>
    <row r="208" ht="13.5" customHeight="1">
      <c r="A208" s="2"/>
      <c r="B208" s="22"/>
      <c r="C208" s="2"/>
      <c r="D208" s="13"/>
      <c r="E208" s="3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4"/>
      <c r="DF208" s="14"/>
      <c r="DG208" s="14"/>
      <c r="DH208" s="14"/>
      <c r="DI208" s="14"/>
      <c r="DJ208" s="14"/>
      <c r="DK208" s="14"/>
      <c r="DL208" s="14"/>
      <c r="DM208" s="14"/>
      <c r="DN208" s="14"/>
      <c r="DO208" s="14"/>
      <c r="DP208" s="14"/>
      <c r="DQ208" s="14"/>
      <c r="DR208" s="14"/>
      <c r="DS208" s="14"/>
      <c r="DT208" s="14"/>
      <c r="DU208" s="14"/>
      <c r="DV208" s="14"/>
      <c r="DW208" s="14"/>
      <c r="DX208" s="14"/>
      <c r="DY208" s="14"/>
      <c r="DZ208" s="14"/>
      <c r="EA208" s="14"/>
      <c r="EB208" s="14"/>
      <c r="EC208" s="14"/>
      <c r="ED208" s="14"/>
      <c r="EE208" s="14"/>
      <c r="EF208" s="14"/>
      <c r="EG208" s="14"/>
      <c r="EH208" s="14"/>
      <c r="EI208" s="14"/>
      <c r="EJ208" s="14"/>
      <c r="EK208" s="14"/>
      <c r="EL208" s="14"/>
      <c r="EM208" s="14"/>
      <c r="EN208" s="14"/>
      <c r="EO208" s="14"/>
      <c r="EP208" s="14"/>
      <c r="EQ208" s="14"/>
      <c r="ER208" s="14"/>
      <c r="ES208" s="14"/>
      <c r="ET208" s="14"/>
      <c r="EU208" s="14"/>
      <c r="EV208" s="14"/>
      <c r="EW208" s="14"/>
      <c r="EX208" s="14"/>
      <c r="EY208" s="14"/>
      <c r="EZ208" s="14"/>
      <c r="FA208" s="14"/>
      <c r="FB208" s="14"/>
      <c r="FC208" s="14"/>
      <c r="FD208" s="14"/>
      <c r="FE208" s="14"/>
      <c r="FF208" s="14"/>
      <c r="FG208" s="14"/>
      <c r="FH208" s="14"/>
      <c r="FI208" s="14"/>
      <c r="FJ208" s="14"/>
      <c r="FK208" s="14"/>
      <c r="FL208" s="14"/>
      <c r="FM208" s="14"/>
      <c r="FN208" s="14"/>
      <c r="FO208" s="14"/>
      <c r="FP208" s="14"/>
      <c r="FQ208" s="14"/>
      <c r="FR208" s="14"/>
      <c r="FS208" s="14"/>
      <c r="FT208" s="14"/>
      <c r="FU208" s="14"/>
      <c r="FV208" s="14"/>
      <c r="FW208" s="14"/>
      <c r="FX208" s="14"/>
      <c r="FY208" s="14"/>
      <c r="FZ208" s="14"/>
      <c r="GA208" s="14"/>
      <c r="GB208" s="14"/>
      <c r="GC208" s="14"/>
      <c r="GD208" s="14"/>
      <c r="GE208" s="14"/>
      <c r="GF208" s="14"/>
      <c r="GG208" s="14"/>
      <c r="GH208" s="14"/>
      <c r="GI208" s="14"/>
      <c r="GJ208" s="14"/>
      <c r="GK208" s="14"/>
      <c r="GL208" s="14"/>
      <c r="GM208" s="14"/>
      <c r="GN208" s="14"/>
      <c r="GO208" s="14"/>
      <c r="GP208" s="14"/>
      <c r="GQ208" s="14"/>
      <c r="GR208" s="14"/>
      <c r="GS208" s="14"/>
      <c r="GT208" s="14"/>
      <c r="GU208" s="14"/>
      <c r="GV208" s="14"/>
      <c r="GW208" s="14"/>
      <c r="GX208" s="14"/>
      <c r="GY208" s="14"/>
      <c r="GZ208" s="14"/>
      <c r="HA208" s="14"/>
      <c r="HB208" s="14"/>
      <c r="HC208" s="14"/>
      <c r="HD208" s="14"/>
      <c r="HE208" s="14"/>
      <c r="HF208" s="14"/>
      <c r="HG208" s="14"/>
      <c r="HH208" s="14"/>
      <c r="HI208" s="14"/>
      <c r="HJ208" s="14"/>
      <c r="HK208" s="14"/>
      <c r="HL208" s="14"/>
      <c r="HM208" s="14"/>
      <c r="HN208" s="14"/>
      <c r="HO208" s="14"/>
      <c r="HP208" s="14"/>
      <c r="HQ208" s="14"/>
      <c r="HR208" s="14"/>
      <c r="HS208" s="14"/>
      <c r="HT208" s="14"/>
      <c r="HU208" s="14"/>
      <c r="HV208" s="14"/>
      <c r="HW208" s="14"/>
      <c r="HX208" s="14"/>
      <c r="HY208" s="14"/>
      <c r="HZ208" s="14"/>
      <c r="IA208" s="14"/>
      <c r="IB208" s="14"/>
      <c r="IC208" s="14"/>
      <c r="ID208" s="14"/>
      <c r="IE208" s="14"/>
      <c r="IF208" s="14"/>
      <c r="IG208" s="14"/>
      <c r="IH208" s="14"/>
      <c r="II208" s="14"/>
      <c r="IJ208" s="14"/>
      <c r="IK208" s="14"/>
      <c r="IL208" s="14"/>
      <c r="IM208" s="14"/>
      <c r="IN208" s="14"/>
      <c r="IO208" s="14"/>
      <c r="IP208" s="14"/>
      <c r="IQ208" s="14"/>
      <c r="IR208" s="14"/>
      <c r="IS208" s="14"/>
      <c r="IT208" s="14"/>
      <c r="IU208" s="14"/>
      <c r="IV208" s="14"/>
      <c r="IW208" s="14"/>
      <c r="IX208" s="14"/>
      <c r="IY208" s="14"/>
      <c r="IZ208" s="14"/>
      <c r="JA208" s="14"/>
      <c r="JB208" s="14"/>
      <c r="JC208" s="14"/>
      <c r="JD208" s="14"/>
      <c r="JE208" s="14"/>
      <c r="JF208" s="14"/>
      <c r="JG208" s="14"/>
      <c r="JH208" s="14"/>
      <c r="JI208" s="14"/>
      <c r="JJ208" s="14"/>
      <c r="JK208" s="14"/>
      <c r="JL208" s="14"/>
      <c r="JM208" s="14"/>
      <c r="JN208" s="14"/>
      <c r="JO208" s="14"/>
      <c r="JP208" s="14"/>
      <c r="JQ208" s="14"/>
      <c r="JR208" s="14"/>
      <c r="JS208" s="14"/>
      <c r="JT208" s="14"/>
      <c r="JU208" s="14"/>
      <c r="JV208" s="14"/>
      <c r="JW208" s="14"/>
      <c r="JX208" s="14"/>
      <c r="JY208" s="14"/>
      <c r="JZ208" s="14"/>
      <c r="KA208" s="14"/>
      <c r="KB208" s="14"/>
      <c r="KC208" s="14"/>
      <c r="KD208" s="14"/>
      <c r="KE208" s="14"/>
      <c r="KF208" s="14"/>
      <c r="KG208" s="14"/>
      <c r="KH208" s="14"/>
      <c r="KI208" s="14"/>
      <c r="KJ208" s="14"/>
      <c r="KK208" s="14"/>
      <c r="KL208" s="14"/>
      <c r="KM208" s="14"/>
      <c r="KN208" s="14"/>
      <c r="KO208" s="14"/>
      <c r="KP208" s="14"/>
      <c r="KQ208" s="14"/>
      <c r="KR208" s="14"/>
      <c r="KS208" s="14"/>
      <c r="KT208" s="14"/>
      <c r="KU208" s="14"/>
      <c r="KV208" s="14"/>
      <c r="KW208" s="14"/>
      <c r="KX208" s="14"/>
      <c r="KY208" s="14"/>
      <c r="KZ208" s="14"/>
      <c r="LA208" s="14"/>
      <c r="LB208" s="14"/>
      <c r="LC208" s="14"/>
      <c r="LD208" s="14"/>
      <c r="LE208" s="14"/>
      <c r="LF208" s="14"/>
      <c r="LG208" s="14"/>
      <c r="LH208" s="14"/>
      <c r="LI208" s="14"/>
      <c r="LJ208" s="14"/>
      <c r="LK208" s="14"/>
      <c r="LL208" s="14"/>
      <c r="LM208" s="14"/>
      <c r="LN208" s="14"/>
      <c r="LO208" s="14"/>
      <c r="LP208" s="14"/>
      <c r="LQ208" s="14"/>
      <c r="LR208" s="14"/>
      <c r="LS208" s="14"/>
      <c r="LT208" s="14"/>
      <c r="LU208" s="14"/>
      <c r="LV208" s="14"/>
      <c r="LW208" s="14"/>
      <c r="LX208" s="14"/>
      <c r="LY208" s="14"/>
      <c r="LZ208" s="14"/>
      <c r="MA208" s="14"/>
      <c r="MB208" s="14"/>
      <c r="MC208" s="14"/>
      <c r="MD208" s="14"/>
      <c r="ME208" s="14"/>
      <c r="MF208" s="14"/>
      <c r="MG208" s="14"/>
      <c r="MH208" s="14"/>
      <c r="MI208" s="14"/>
      <c r="MJ208" s="14"/>
      <c r="MK208" s="14"/>
      <c r="ML208" s="14"/>
      <c r="MM208" s="14"/>
      <c r="MN208" s="14"/>
      <c r="MO208" s="14"/>
      <c r="MP208" s="14"/>
      <c r="MQ208" s="14"/>
      <c r="MR208" s="14"/>
      <c r="MS208" s="14"/>
      <c r="MT208" s="14"/>
      <c r="MU208" s="14"/>
      <c r="MV208" s="14"/>
      <c r="MW208" s="14"/>
      <c r="MX208" s="14"/>
      <c r="MY208" s="14"/>
      <c r="MZ208" s="14"/>
      <c r="NA208" s="14"/>
      <c r="NB208" s="14"/>
      <c r="NC208" s="14"/>
      <c r="ND208" s="14"/>
      <c r="NE208" s="14"/>
      <c r="NF208" s="14"/>
      <c r="NG208" s="14"/>
      <c r="NH208" s="14"/>
      <c r="NI208" s="14"/>
      <c r="NJ208" s="14"/>
      <c r="NK208" s="14"/>
      <c r="NL208" s="14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</row>
    <row r="209" ht="13.5" customHeight="1">
      <c r="A209" s="2"/>
      <c r="B209" s="22"/>
      <c r="C209" s="2"/>
      <c r="D209" s="13"/>
      <c r="E209" s="3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4"/>
      <c r="DF209" s="14"/>
      <c r="DG209" s="14"/>
      <c r="DH209" s="14"/>
      <c r="DI209" s="14"/>
      <c r="DJ209" s="14"/>
      <c r="DK209" s="14"/>
      <c r="DL209" s="14"/>
      <c r="DM209" s="14"/>
      <c r="DN209" s="14"/>
      <c r="DO209" s="14"/>
      <c r="DP209" s="14"/>
      <c r="DQ209" s="14"/>
      <c r="DR209" s="14"/>
      <c r="DS209" s="14"/>
      <c r="DT209" s="14"/>
      <c r="DU209" s="14"/>
      <c r="DV209" s="14"/>
      <c r="DW209" s="14"/>
      <c r="DX209" s="14"/>
      <c r="DY209" s="14"/>
      <c r="DZ209" s="14"/>
      <c r="EA209" s="14"/>
      <c r="EB209" s="14"/>
      <c r="EC209" s="14"/>
      <c r="ED209" s="14"/>
      <c r="EE209" s="14"/>
      <c r="EF209" s="14"/>
      <c r="EG209" s="14"/>
      <c r="EH209" s="14"/>
      <c r="EI209" s="14"/>
      <c r="EJ209" s="14"/>
      <c r="EK209" s="14"/>
      <c r="EL209" s="14"/>
      <c r="EM209" s="14"/>
      <c r="EN209" s="14"/>
      <c r="EO209" s="14"/>
      <c r="EP209" s="14"/>
      <c r="EQ209" s="14"/>
      <c r="ER209" s="14"/>
      <c r="ES209" s="14"/>
      <c r="ET209" s="14"/>
      <c r="EU209" s="14"/>
      <c r="EV209" s="14"/>
      <c r="EW209" s="14"/>
      <c r="EX209" s="14"/>
      <c r="EY209" s="14"/>
      <c r="EZ209" s="14"/>
      <c r="FA209" s="14"/>
      <c r="FB209" s="14"/>
      <c r="FC209" s="14"/>
      <c r="FD209" s="14"/>
      <c r="FE209" s="14"/>
      <c r="FF209" s="14"/>
      <c r="FG209" s="14"/>
      <c r="FH209" s="14"/>
      <c r="FI209" s="14"/>
      <c r="FJ209" s="14"/>
      <c r="FK209" s="14"/>
      <c r="FL209" s="14"/>
      <c r="FM209" s="14"/>
      <c r="FN209" s="14"/>
      <c r="FO209" s="14"/>
      <c r="FP209" s="14"/>
      <c r="FQ209" s="14"/>
      <c r="FR209" s="14"/>
      <c r="FS209" s="14"/>
      <c r="FT209" s="14"/>
      <c r="FU209" s="14"/>
      <c r="FV209" s="14"/>
      <c r="FW209" s="14"/>
      <c r="FX209" s="14"/>
      <c r="FY209" s="14"/>
      <c r="FZ209" s="14"/>
      <c r="GA209" s="14"/>
      <c r="GB209" s="14"/>
      <c r="GC209" s="14"/>
      <c r="GD209" s="14"/>
      <c r="GE209" s="14"/>
      <c r="GF209" s="14"/>
      <c r="GG209" s="14"/>
      <c r="GH209" s="14"/>
      <c r="GI209" s="14"/>
      <c r="GJ209" s="14"/>
      <c r="GK209" s="14"/>
      <c r="GL209" s="14"/>
      <c r="GM209" s="14"/>
      <c r="GN209" s="14"/>
      <c r="GO209" s="14"/>
      <c r="GP209" s="14"/>
      <c r="GQ209" s="14"/>
      <c r="GR209" s="14"/>
      <c r="GS209" s="14"/>
      <c r="GT209" s="14"/>
      <c r="GU209" s="14"/>
      <c r="GV209" s="14"/>
      <c r="GW209" s="14"/>
      <c r="GX209" s="14"/>
      <c r="GY209" s="14"/>
      <c r="GZ209" s="14"/>
      <c r="HA209" s="14"/>
      <c r="HB209" s="14"/>
      <c r="HC209" s="14"/>
      <c r="HD209" s="14"/>
      <c r="HE209" s="14"/>
      <c r="HF209" s="14"/>
      <c r="HG209" s="14"/>
      <c r="HH209" s="14"/>
      <c r="HI209" s="14"/>
      <c r="HJ209" s="14"/>
      <c r="HK209" s="14"/>
      <c r="HL209" s="14"/>
      <c r="HM209" s="14"/>
      <c r="HN209" s="14"/>
      <c r="HO209" s="14"/>
      <c r="HP209" s="14"/>
      <c r="HQ209" s="14"/>
      <c r="HR209" s="14"/>
      <c r="HS209" s="14"/>
      <c r="HT209" s="14"/>
      <c r="HU209" s="14"/>
      <c r="HV209" s="14"/>
      <c r="HW209" s="14"/>
      <c r="HX209" s="14"/>
      <c r="HY209" s="14"/>
      <c r="HZ209" s="14"/>
      <c r="IA209" s="14"/>
      <c r="IB209" s="14"/>
      <c r="IC209" s="14"/>
      <c r="ID209" s="14"/>
      <c r="IE209" s="14"/>
      <c r="IF209" s="14"/>
      <c r="IG209" s="14"/>
      <c r="IH209" s="14"/>
      <c r="II209" s="14"/>
      <c r="IJ209" s="14"/>
      <c r="IK209" s="14"/>
      <c r="IL209" s="14"/>
      <c r="IM209" s="14"/>
      <c r="IN209" s="14"/>
      <c r="IO209" s="14"/>
      <c r="IP209" s="14"/>
      <c r="IQ209" s="14"/>
      <c r="IR209" s="14"/>
      <c r="IS209" s="14"/>
      <c r="IT209" s="14"/>
      <c r="IU209" s="14"/>
      <c r="IV209" s="14"/>
      <c r="IW209" s="14"/>
      <c r="IX209" s="14"/>
      <c r="IY209" s="14"/>
      <c r="IZ209" s="14"/>
      <c r="JA209" s="14"/>
      <c r="JB209" s="14"/>
      <c r="JC209" s="14"/>
      <c r="JD209" s="14"/>
      <c r="JE209" s="14"/>
      <c r="JF209" s="14"/>
      <c r="JG209" s="14"/>
      <c r="JH209" s="14"/>
      <c r="JI209" s="14"/>
      <c r="JJ209" s="14"/>
      <c r="JK209" s="14"/>
      <c r="JL209" s="14"/>
      <c r="JM209" s="14"/>
      <c r="JN209" s="14"/>
      <c r="JO209" s="14"/>
      <c r="JP209" s="14"/>
      <c r="JQ209" s="14"/>
      <c r="JR209" s="14"/>
      <c r="JS209" s="14"/>
      <c r="JT209" s="14"/>
      <c r="JU209" s="14"/>
      <c r="JV209" s="14"/>
      <c r="JW209" s="14"/>
      <c r="JX209" s="14"/>
      <c r="JY209" s="14"/>
      <c r="JZ209" s="14"/>
      <c r="KA209" s="14"/>
      <c r="KB209" s="14"/>
      <c r="KC209" s="14"/>
      <c r="KD209" s="14"/>
      <c r="KE209" s="14"/>
      <c r="KF209" s="14"/>
      <c r="KG209" s="14"/>
      <c r="KH209" s="14"/>
      <c r="KI209" s="14"/>
      <c r="KJ209" s="14"/>
      <c r="KK209" s="14"/>
      <c r="KL209" s="14"/>
      <c r="KM209" s="14"/>
      <c r="KN209" s="14"/>
      <c r="KO209" s="14"/>
      <c r="KP209" s="14"/>
      <c r="KQ209" s="14"/>
      <c r="KR209" s="14"/>
      <c r="KS209" s="14"/>
      <c r="KT209" s="14"/>
      <c r="KU209" s="14"/>
      <c r="KV209" s="14"/>
      <c r="KW209" s="14"/>
      <c r="KX209" s="14"/>
      <c r="KY209" s="14"/>
      <c r="KZ209" s="14"/>
      <c r="LA209" s="14"/>
      <c r="LB209" s="14"/>
      <c r="LC209" s="14"/>
      <c r="LD209" s="14"/>
      <c r="LE209" s="14"/>
      <c r="LF209" s="14"/>
      <c r="LG209" s="14"/>
      <c r="LH209" s="14"/>
      <c r="LI209" s="14"/>
      <c r="LJ209" s="14"/>
      <c r="LK209" s="14"/>
      <c r="LL209" s="14"/>
      <c r="LM209" s="14"/>
      <c r="LN209" s="14"/>
      <c r="LO209" s="14"/>
      <c r="LP209" s="14"/>
      <c r="LQ209" s="14"/>
      <c r="LR209" s="14"/>
      <c r="LS209" s="14"/>
      <c r="LT209" s="14"/>
      <c r="LU209" s="14"/>
      <c r="LV209" s="14"/>
      <c r="LW209" s="14"/>
      <c r="LX209" s="14"/>
      <c r="LY209" s="14"/>
      <c r="LZ209" s="14"/>
      <c r="MA209" s="14"/>
      <c r="MB209" s="14"/>
      <c r="MC209" s="14"/>
      <c r="MD209" s="14"/>
      <c r="ME209" s="14"/>
      <c r="MF209" s="14"/>
      <c r="MG209" s="14"/>
      <c r="MH209" s="14"/>
      <c r="MI209" s="14"/>
      <c r="MJ209" s="14"/>
      <c r="MK209" s="14"/>
      <c r="ML209" s="14"/>
      <c r="MM209" s="14"/>
      <c r="MN209" s="14"/>
      <c r="MO209" s="14"/>
      <c r="MP209" s="14"/>
      <c r="MQ209" s="14"/>
      <c r="MR209" s="14"/>
      <c r="MS209" s="14"/>
      <c r="MT209" s="14"/>
      <c r="MU209" s="14"/>
      <c r="MV209" s="14"/>
      <c r="MW209" s="14"/>
      <c r="MX209" s="14"/>
      <c r="MY209" s="14"/>
      <c r="MZ209" s="14"/>
      <c r="NA209" s="14"/>
      <c r="NB209" s="14"/>
      <c r="NC209" s="14"/>
      <c r="ND209" s="14"/>
      <c r="NE209" s="14"/>
      <c r="NF209" s="14"/>
      <c r="NG209" s="14"/>
      <c r="NH209" s="14"/>
      <c r="NI209" s="14"/>
      <c r="NJ209" s="14"/>
      <c r="NK209" s="14"/>
      <c r="NL209" s="14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</row>
    <row r="210" ht="13.5" customHeight="1">
      <c r="A210" s="2"/>
      <c r="B210" s="22"/>
      <c r="C210" s="2"/>
      <c r="D210" s="13"/>
      <c r="E210" s="3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4"/>
      <c r="DF210" s="14"/>
      <c r="DG210" s="14"/>
      <c r="DH210" s="14"/>
      <c r="DI210" s="14"/>
      <c r="DJ210" s="14"/>
      <c r="DK210" s="14"/>
      <c r="DL210" s="14"/>
      <c r="DM210" s="14"/>
      <c r="DN210" s="14"/>
      <c r="DO210" s="14"/>
      <c r="DP210" s="14"/>
      <c r="DQ210" s="14"/>
      <c r="DR210" s="14"/>
      <c r="DS210" s="14"/>
      <c r="DT210" s="14"/>
      <c r="DU210" s="14"/>
      <c r="DV210" s="14"/>
      <c r="DW210" s="14"/>
      <c r="DX210" s="14"/>
      <c r="DY210" s="14"/>
      <c r="DZ210" s="14"/>
      <c r="EA210" s="14"/>
      <c r="EB210" s="14"/>
      <c r="EC210" s="14"/>
      <c r="ED210" s="14"/>
      <c r="EE210" s="14"/>
      <c r="EF210" s="14"/>
      <c r="EG210" s="14"/>
      <c r="EH210" s="14"/>
      <c r="EI210" s="14"/>
      <c r="EJ210" s="14"/>
      <c r="EK210" s="14"/>
      <c r="EL210" s="14"/>
      <c r="EM210" s="14"/>
      <c r="EN210" s="14"/>
      <c r="EO210" s="14"/>
      <c r="EP210" s="14"/>
      <c r="EQ210" s="14"/>
      <c r="ER210" s="14"/>
      <c r="ES210" s="14"/>
      <c r="ET210" s="14"/>
      <c r="EU210" s="14"/>
      <c r="EV210" s="14"/>
      <c r="EW210" s="14"/>
      <c r="EX210" s="14"/>
      <c r="EY210" s="14"/>
      <c r="EZ210" s="14"/>
      <c r="FA210" s="14"/>
      <c r="FB210" s="14"/>
      <c r="FC210" s="14"/>
      <c r="FD210" s="14"/>
      <c r="FE210" s="14"/>
      <c r="FF210" s="14"/>
      <c r="FG210" s="14"/>
      <c r="FH210" s="14"/>
      <c r="FI210" s="14"/>
      <c r="FJ210" s="14"/>
      <c r="FK210" s="14"/>
      <c r="FL210" s="14"/>
      <c r="FM210" s="14"/>
      <c r="FN210" s="14"/>
      <c r="FO210" s="14"/>
      <c r="FP210" s="14"/>
      <c r="FQ210" s="14"/>
      <c r="FR210" s="14"/>
      <c r="FS210" s="14"/>
      <c r="FT210" s="14"/>
      <c r="FU210" s="14"/>
      <c r="FV210" s="14"/>
      <c r="FW210" s="14"/>
      <c r="FX210" s="14"/>
      <c r="FY210" s="14"/>
      <c r="FZ210" s="14"/>
      <c r="GA210" s="14"/>
      <c r="GB210" s="14"/>
      <c r="GC210" s="14"/>
      <c r="GD210" s="14"/>
      <c r="GE210" s="14"/>
      <c r="GF210" s="14"/>
      <c r="GG210" s="14"/>
      <c r="GH210" s="14"/>
      <c r="GI210" s="14"/>
      <c r="GJ210" s="14"/>
      <c r="GK210" s="14"/>
      <c r="GL210" s="14"/>
      <c r="GM210" s="14"/>
      <c r="GN210" s="14"/>
      <c r="GO210" s="14"/>
      <c r="GP210" s="14"/>
      <c r="GQ210" s="14"/>
      <c r="GR210" s="14"/>
      <c r="GS210" s="14"/>
      <c r="GT210" s="14"/>
      <c r="GU210" s="14"/>
      <c r="GV210" s="14"/>
      <c r="GW210" s="14"/>
      <c r="GX210" s="14"/>
      <c r="GY210" s="14"/>
      <c r="GZ210" s="14"/>
      <c r="HA210" s="14"/>
      <c r="HB210" s="14"/>
      <c r="HC210" s="14"/>
      <c r="HD210" s="14"/>
      <c r="HE210" s="14"/>
      <c r="HF210" s="14"/>
      <c r="HG210" s="14"/>
      <c r="HH210" s="14"/>
      <c r="HI210" s="14"/>
      <c r="HJ210" s="14"/>
      <c r="HK210" s="14"/>
      <c r="HL210" s="14"/>
      <c r="HM210" s="14"/>
      <c r="HN210" s="14"/>
      <c r="HO210" s="14"/>
      <c r="HP210" s="14"/>
      <c r="HQ210" s="14"/>
      <c r="HR210" s="14"/>
      <c r="HS210" s="14"/>
      <c r="HT210" s="14"/>
      <c r="HU210" s="14"/>
      <c r="HV210" s="14"/>
      <c r="HW210" s="14"/>
      <c r="HX210" s="14"/>
      <c r="HY210" s="14"/>
      <c r="HZ210" s="14"/>
      <c r="IA210" s="14"/>
      <c r="IB210" s="14"/>
      <c r="IC210" s="14"/>
      <c r="ID210" s="14"/>
      <c r="IE210" s="14"/>
      <c r="IF210" s="14"/>
      <c r="IG210" s="14"/>
      <c r="IH210" s="14"/>
      <c r="II210" s="14"/>
      <c r="IJ210" s="14"/>
      <c r="IK210" s="14"/>
      <c r="IL210" s="14"/>
      <c r="IM210" s="14"/>
      <c r="IN210" s="14"/>
      <c r="IO210" s="14"/>
      <c r="IP210" s="14"/>
      <c r="IQ210" s="14"/>
      <c r="IR210" s="14"/>
      <c r="IS210" s="14"/>
      <c r="IT210" s="14"/>
      <c r="IU210" s="14"/>
      <c r="IV210" s="14"/>
      <c r="IW210" s="14"/>
      <c r="IX210" s="14"/>
      <c r="IY210" s="14"/>
      <c r="IZ210" s="14"/>
      <c r="JA210" s="14"/>
      <c r="JB210" s="14"/>
      <c r="JC210" s="14"/>
      <c r="JD210" s="14"/>
      <c r="JE210" s="14"/>
      <c r="JF210" s="14"/>
      <c r="JG210" s="14"/>
      <c r="JH210" s="14"/>
      <c r="JI210" s="14"/>
      <c r="JJ210" s="14"/>
      <c r="JK210" s="14"/>
      <c r="JL210" s="14"/>
      <c r="JM210" s="14"/>
      <c r="JN210" s="14"/>
      <c r="JO210" s="14"/>
      <c r="JP210" s="14"/>
      <c r="JQ210" s="14"/>
      <c r="JR210" s="14"/>
      <c r="JS210" s="14"/>
      <c r="JT210" s="14"/>
      <c r="JU210" s="14"/>
      <c r="JV210" s="14"/>
      <c r="JW210" s="14"/>
      <c r="JX210" s="14"/>
      <c r="JY210" s="14"/>
      <c r="JZ210" s="14"/>
      <c r="KA210" s="14"/>
      <c r="KB210" s="14"/>
      <c r="KC210" s="14"/>
      <c r="KD210" s="14"/>
      <c r="KE210" s="14"/>
      <c r="KF210" s="14"/>
      <c r="KG210" s="14"/>
      <c r="KH210" s="14"/>
      <c r="KI210" s="14"/>
      <c r="KJ210" s="14"/>
      <c r="KK210" s="14"/>
      <c r="KL210" s="14"/>
      <c r="KM210" s="14"/>
      <c r="KN210" s="14"/>
      <c r="KO210" s="14"/>
      <c r="KP210" s="14"/>
      <c r="KQ210" s="14"/>
      <c r="KR210" s="14"/>
      <c r="KS210" s="14"/>
      <c r="KT210" s="14"/>
      <c r="KU210" s="14"/>
      <c r="KV210" s="14"/>
      <c r="KW210" s="14"/>
      <c r="KX210" s="14"/>
      <c r="KY210" s="14"/>
      <c r="KZ210" s="14"/>
      <c r="LA210" s="14"/>
      <c r="LB210" s="14"/>
      <c r="LC210" s="14"/>
      <c r="LD210" s="14"/>
      <c r="LE210" s="14"/>
      <c r="LF210" s="14"/>
      <c r="LG210" s="14"/>
      <c r="LH210" s="14"/>
      <c r="LI210" s="14"/>
      <c r="LJ210" s="14"/>
      <c r="LK210" s="14"/>
      <c r="LL210" s="14"/>
      <c r="LM210" s="14"/>
      <c r="LN210" s="14"/>
      <c r="LO210" s="14"/>
      <c r="LP210" s="14"/>
      <c r="LQ210" s="14"/>
      <c r="LR210" s="14"/>
      <c r="LS210" s="14"/>
      <c r="LT210" s="14"/>
      <c r="LU210" s="14"/>
      <c r="LV210" s="14"/>
      <c r="LW210" s="14"/>
      <c r="LX210" s="14"/>
      <c r="LY210" s="14"/>
      <c r="LZ210" s="14"/>
      <c r="MA210" s="14"/>
      <c r="MB210" s="14"/>
      <c r="MC210" s="14"/>
      <c r="MD210" s="14"/>
      <c r="ME210" s="14"/>
      <c r="MF210" s="14"/>
      <c r="MG210" s="14"/>
      <c r="MH210" s="14"/>
      <c r="MI210" s="14"/>
      <c r="MJ210" s="14"/>
      <c r="MK210" s="14"/>
      <c r="ML210" s="14"/>
      <c r="MM210" s="14"/>
      <c r="MN210" s="14"/>
      <c r="MO210" s="14"/>
      <c r="MP210" s="14"/>
      <c r="MQ210" s="14"/>
      <c r="MR210" s="14"/>
      <c r="MS210" s="14"/>
      <c r="MT210" s="14"/>
      <c r="MU210" s="14"/>
      <c r="MV210" s="14"/>
      <c r="MW210" s="14"/>
      <c r="MX210" s="14"/>
      <c r="MY210" s="14"/>
      <c r="MZ210" s="14"/>
      <c r="NA210" s="14"/>
      <c r="NB210" s="14"/>
      <c r="NC210" s="14"/>
      <c r="ND210" s="14"/>
      <c r="NE210" s="14"/>
      <c r="NF210" s="14"/>
      <c r="NG210" s="14"/>
      <c r="NH210" s="14"/>
      <c r="NI210" s="14"/>
      <c r="NJ210" s="14"/>
      <c r="NK210" s="14"/>
      <c r="NL210" s="14"/>
      <c r="NM210" s="3"/>
      <c r="NN210" s="3"/>
      <c r="NO210" s="3"/>
      <c r="NP210" s="3"/>
      <c r="NQ210" s="3"/>
      <c r="NR210" s="3"/>
      <c r="NS210" s="3"/>
      <c r="NT210" s="3"/>
      <c r="NU210" s="3"/>
      <c r="NV210" s="3"/>
      <c r="NW210" s="3"/>
      <c r="NX210" s="3"/>
      <c r="NY210" s="3"/>
      <c r="NZ210" s="3"/>
      <c r="OA210" s="3"/>
      <c r="OB210" s="3"/>
      <c r="OC210" s="3"/>
      <c r="OD210" s="3"/>
      <c r="OE210" s="3"/>
      <c r="OF210" s="3"/>
    </row>
    <row r="211" ht="13.5" customHeight="1">
      <c r="A211" s="2"/>
      <c r="B211" s="22"/>
      <c r="C211" s="2"/>
      <c r="D211" s="13"/>
      <c r="E211" s="3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4"/>
      <c r="DF211" s="14"/>
      <c r="DG211" s="14"/>
      <c r="DH211" s="14"/>
      <c r="DI211" s="14"/>
      <c r="DJ211" s="14"/>
      <c r="DK211" s="14"/>
      <c r="DL211" s="14"/>
      <c r="DM211" s="14"/>
      <c r="DN211" s="14"/>
      <c r="DO211" s="14"/>
      <c r="DP211" s="14"/>
      <c r="DQ211" s="14"/>
      <c r="DR211" s="14"/>
      <c r="DS211" s="14"/>
      <c r="DT211" s="14"/>
      <c r="DU211" s="14"/>
      <c r="DV211" s="14"/>
      <c r="DW211" s="14"/>
      <c r="DX211" s="14"/>
      <c r="DY211" s="14"/>
      <c r="DZ211" s="14"/>
      <c r="EA211" s="14"/>
      <c r="EB211" s="14"/>
      <c r="EC211" s="14"/>
      <c r="ED211" s="14"/>
      <c r="EE211" s="14"/>
      <c r="EF211" s="14"/>
      <c r="EG211" s="14"/>
      <c r="EH211" s="14"/>
      <c r="EI211" s="14"/>
      <c r="EJ211" s="14"/>
      <c r="EK211" s="14"/>
      <c r="EL211" s="14"/>
      <c r="EM211" s="14"/>
      <c r="EN211" s="14"/>
      <c r="EO211" s="14"/>
      <c r="EP211" s="14"/>
      <c r="EQ211" s="14"/>
      <c r="ER211" s="14"/>
      <c r="ES211" s="14"/>
      <c r="ET211" s="14"/>
      <c r="EU211" s="14"/>
      <c r="EV211" s="14"/>
      <c r="EW211" s="14"/>
      <c r="EX211" s="14"/>
      <c r="EY211" s="14"/>
      <c r="EZ211" s="14"/>
      <c r="FA211" s="14"/>
      <c r="FB211" s="14"/>
      <c r="FC211" s="14"/>
      <c r="FD211" s="14"/>
      <c r="FE211" s="14"/>
      <c r="FF211" s="14"/>
      <c r="FG211" s="14"/>
      <c r="FH211" s="14"/>
      <c r="FI211" s="14"/>
      <c r="FJ211" s="14"/>
      <c r="FK211" s="14"/>
      <c r="FL211" s="14"/>
      <c r="FM211" s="14"/>
      <c r="FN211" s="14"/>
      <c r="FO211" s="14"/>
      <c r="FP211" s="14"/>
      <c r="FQ211" s="14"/>
      <c r="FR211" s="14"/>
      <c r="FS211" s="14"/>
      <c r="FT211" s="14"/>
      <c r="FU211" s="14"/>
      <c r="FV211" s="14"/>
      <c r="FW211" s="14"/>
      <c r="FX211" s="14"/>
      <c r="FY211" s="14"/>
      <c r="FZ211" s="14"/>
      <c r="GA211" s="14"/>
      <c r="GB211" s="14"/>
      <c r="GC211" s="14"/>
      <c r="GD211" s="14"/>
      <c r="GE211" s="14"/>
      <c r="GF211" s="14"/>
      <c r="GG211" s="14"/>
      <c r="GH211" s="14"/>
      <c r="GI211" s="14"/>
      <c r="GJ211" s="14"/>
      <c r="GK211" s="14"/>
      <c r="GL211" s="14"/>
      <c r="GM211" s="14"/>
      <c r="GN211" s="14"/>
      <c r="GO211" s="14"/>
      <c r="GP211" s="14"/>
      <c r="GQ211" s="14"/>
      <c r="GR211" s="14"/>
      <c r="GS211" s="14"/>
      <c r="GT211" s="14"/>
      <c r="GU211" s="14"/>
      <c r="GV211" s="14"/>
      <c r="GW211" s="14"/>
      <c r="GX211" s="14"/>
      <c r="GY211" s="14"/>
      <c r="GZ211" s="14"/>
      <c r="HA211" s="14"/>
      <c r="HB211" s="14"/>
      <c r="HC211" s="14"/>
      <c r="HD211" s="14"/>
      <c r="HE211" s="14"/>
      <c r="HF211" s="14"/>
      <c r="HG211" s="14"/>
      <c r="HH211" s="14"/>
      <c r="HI211" s="14"/>
      <c r="HJ211" s="14"/>
      <c r="HK211" s="14"/>
      <c r="HL211" s="14"/>
      <c r="HM211" s="14"/>
      <c r="HN211" s="14"/>
      <c r="HO211" s="14"/>
      <c r="HP211" s="14"/>
      <c r="HQ211" s="14"/>
      <c r="HR211" s="14"/>
      <c r="HS211" s="14"/>
      <c r="HT211" s="14"/>
      <c r="HU211" s="14"/>
      <c r="HV211" s="14"/>
      <c r="HW211" s="14"/>
      <c r="HX211" s="14"/>
      <c r="HY211" s="14"/>
      <c r="HZ211" s="14"/>
      <c r="IA211" s="14"/>
      <c r="IB211" s="14"/>
      <c r="IC211" s="14"/>
      <c r="ID211" s="14"/>
      <c r="IE211" s="14"/>
      <c r="IF211" s="14"/>
      <c r="IG211" s="14"/>
      <c r="IH211" s="14"/>
      <c r="II211" s="14"/>
      <c r="IJ211" s="14"/>
      <c r="IK211" s="14"/>
      <c r="IL211" s="14"/>
      <c r="IM211" s="14"/>
      <c r="IN211" s="14"/>
      <c r="IO211" s="14"/>
      <c r="IP211" s="14"/>
      <c r="IQ211" s="14"/>
      <c r="IR211" s="14"/>
      <c r="IS211" s="14"/>
      <c r="IT211" s="14"/>
      <c r="IU211" s="14"/>
      <c r="IV211" s="14"/>
      <c r="IW211" s="14"/>
      <c r="IX211" s="14"/>
      <c r="IY211" s="14"/>
      <c r="IZ211" s="14"/>
      <c r="JA211" s="14"/>
      <c r="JB211" s="14"/>
      <c r="JC211" s="14"/>
      <c r="JD211" s="14"/>
      <c r="JE211" s="14"/>
      <c r="JF211" s="14"/>
      <c r="JG211" s="14"/>
      <c r="JH211" s="14"/>
      <c r="JI211" s="14"/>
      <c r="JJ211" s="14"/>
      <c r="JK211" s="14"/>
      <c r="JL211" s="14"/>
      <c r="JM211" s="14"/>
      <c r="JN211" s="14"/>
      <c r="JO211" s="14"/>
      <c r="JP211" s="14"/>
      <c r="JQ211" s="14"/>
      <c r="JR211" s="14"/>
      <c r="JS211" s="14"/>
      <c r="JT211" s="14"/>
      <c r="JU211" s="14"/>
      <c r="JV211" s="14"/>
      <c r="JW211" s="14"/>
      <c r="JX211" s="14"/>
      <c r="JY211" s="14"/>
      <c r="JZ211" s="14"/>
      <c r="KA211" s="14"/>
      <c r="KB211" s="14"/>
      <c r="KC211" s="14"/>
      <c r="KD211" s="14"/>
      <c r="KE211" s="14"/>
      <c r="KF211" s="14"/>
      <c r="KG211" s="14"/>
      <c r="KH211" s="14"/>
      <c r="KI211" s="14"/>
      <c r="KJ211" s="14"/>
      <c r="KK211" s="14"/>
      <c r="KL211" s="14"/>
      <c r="KM211" s="14"/>
      <c r="KN211" s="14"/>
      <c r="KO211" s="14"/>
      <c r="KP211" s="14"/>
      <c r="KQ211" s="14"/>
      <c r="KR211" s="14"/>
      <c r="KS211" s="14"/>
      <c r="KT211" s="14"/>
      <c r="KU211" s="14"/>
      <c r="KV211" s="14"/>
      <c r="KW211" s="14"/>
      <c r="KX211" s="14"/>
      <c r="KY211" s="14"/>
      <c r="KZ211" s="14"/>
      <c r="LA211" s="14"/>
      <c r="LB211" s="14"/>
      <c r="LC211" s="14"/>
      <c r="LD211" s="14"/>
      <c r="LE211" s="14"/>
      <c r="LF211" s="14"/>
      <c r="LG211" s="14"/>
      <c r="LH211" s="14"/>
      <c r="LI211" s="14"/>
      <c r="LJ211" s="14"/>
      <c r="LK211" s="14"/>
      <c r="LL211" s="14"/>
      <c r="LM211" s="14"/>
      <c r="LN211" s="14"/>
      <c r="LO211" s="14"/>
      <c r="LP211" s="14"/>
      <c r="LQ211" s="14"/>
      <c r="LR211" s="14"/>
      <c r="LS211" s="14"/>
      <c r="LT211" s="14"/>
      <c r="LU211" s="14"/>
      <c r="LV211" s="14"/>
      <c r="LW211" s="14"/>
      <c r="LX211" s="14"/>
      <c r="LY211" s="14"/>
      <c r="LZ211" s="14"/>
      <c r="MA211" s="14"/>
      <c r="MB211" s="14"/>
      <c r="MC211" s="14"/>
      <c r="MD211" s="14"/>
      <c r="ME211" s="14"/>
      <c r="MF211" s="14"/>
      <c r="MG211" s="14"/>
      <c r="MH211" s="14"/>
      <c r="MI211" s="14"/>
      <c r="MJ211" s="14"/>
      <c r="MK211" s="14"/>
      <c r="ML211" s="14"/>
      <c r="MM211" s="14"/>
      <c r="MN211" s="14"/>
      <c r="MO211" s="14"/>
      <c r="MP211" s="14"/>
      <c r="MQ211" s="14"/>
      <c r="MR211" s="14"/>
      <c r="MS211" s="14"/>
      <c r="MT211" s="14"/>
      <c r="MU211" s="14"/>
      <c r="MV211" s="14"/>
      <c r="MW211" s="14"/>
      <c r="MX211" s="14"/>
      <c r="MY211" s="14"/>
      <c r="MZ211" s="14"/>
      <c r="NA211" s="14"/>
      <c r="NB211" s="14"/>
      <c r="NC211" s="14"/>
      <c r="ND211" s="14"/>
      <c r="NE211" s="14"/>
      <c r="NF211" s="14"/>
      <c r="NG211" s="14"/>
      <c r="NH211" s="14"/>
      <c r="NI211" s="14"/>
      <c r="NJ211" s="14"/>
      <c r="NK211" s="14"/>
      <c r="NL211" s="14"/>
      <c r="NM211" s="3"/>
      <c r="NN211" s="3"/>
      <c r="NO211" s="3"/>
      <c r="NP211" s="3"/>
      <c r="NQ211" s="3"/>
      <c r="NR211" s="3"/>
      <c r="NS211" s="3"/>
      <c r="NT211" s="3"/>
      <c r="NU211" s="3"/>
      <c r="NV211" s="3"/>
      <c r="NW211" s="3"/>
      <c r="NX211" s="3"/>
      <c r="NY211" s="3"/>
      <c r="NZ211" s="3"/>
      <c r="OA211" s="3"/>
      <c r="OB211" s="3"/>
      <c r="OC211" s="3"/>
      <c r="OD211" s="3"/>
      <c r="OE211" s="3"/>
      <c r="OF211" s="3"/>
    </row>
    <row r="212" ht="13.5" customHeight="1">
      <c r="A212" s="2"/>
      <c r="B212" s="22"/>
      <c r="C212" s="2"/>
      <c r="D212" s="13"/>
      <c r="E212" s="3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  <c r="DE212" s="14"/>
      <c r="DF212" s="14"/>
      <c r="DG212" s="14"/>
      <c r="DH212" s="14"/>
      <c r="DI212" s="14"/>
      <c r="DJ212" s="14"/>
      <c r="DK212" s="14"/>
      <c r="DL212" s="14"/>
      <c r="DM212" s="14"/>
      <c r="DN212" s="14"/>
      <c r="DO212" s="14"/>
      <c r="DP212" s="14"/>
      <c r="DQ212" s="14"/>
      <c r="DR212" s="14"/>
      <c r="DS212" s="14"/>
      <c r="DT212" s="14"/>
      <c r="DU212" s="14"/>
      <c r="DV212" s="14"/>
      <c r="DW212" s="14"/>
      <c r="DX212" s="14"/>
      <c r="DY212" s="14"/>
      <c r="DZ212" s="14"/>
      <c r="EA212" s="14"/>
      <c r="EB212" s="14"/>
      <c r="EC212" s="14"/>
      <c r="ED212" s="14"/>
      <c r="EE212" s="14"/>
      <c r="EF212" s="14"/>
      <c r="EG212" s="14"/>
      <c r="EH212" s="14"/>
      <c r="EI212" s="14"/>
      <c r="EJ212" s="14"/>
      <c r="EK212" s="14"/>
      <c r="EL212" s="14"/>
      <c r="EM212" s="14"/>
      <c r="EN212" s="14"/>
      <c r="EO212" s="14"/>
      <c r="EP212" s="14"/>
      <c r="EQ212" s="14"/>
      <c r="ER212" s="14"/>
      <c r="ES212" s="14"/>
      <c r="ET212" s="14"/>
      <c r="EU212" s="14"/>
      <c r="EV212" s="14"/>
      <c r="EW212" s="14"/>
      <c r="EX212" s="14"/>
      <c r="EY212" s="14"/>
      <c r="EZ212" s="14"/>
      <c r="FA212" s="14"/>
      <c r="FB212" s="14"/>
      <c r="FC212" s="14"/>
      <c r="FD212" s="14"/>
      <c r="FE212" s="14"/>
      <c r="FF212" s="14"/>
      <c r="FG212" s="14"/>
      <c r="FH212" s="14"/>
      <c r="FI212" s="14"/>
      <c r="FJ212" s="14"/>
      <c r="FK212" s="14"/>
      <c r="FL212" s="14"/>
      <c r="FM212" s="14"/>
      <c r="FN212" s="14"/>
      <c r="FO212" s="14"/>
      <c r="FP212" s="14"/>
      <c r="FQ212" s="14"/>
      <c r="FR212" s="14"/>
      <c r="FS212" s="14"/>
      <c r="FT212" s="14"/>
      <c r="FU212" s="14"/>
      <c r="FV212" s="14"/>
      <c r="FW212" s="14"/>
      <c r="FX212" s="14"/>
      <c r="FY212" s="14"/>
      <c r="FZ212" s="14"/>
      <c r="GA212" s="14"/>
      <c r="GB212" s="14"/>
      <c r="GC212" s="14"/>
      <c r="GD212" s="14"/>
      <c r="GE212" s="14"/>
      <c r="GF212" s="14"/>
      <c r="GG212" s="14"/>
      <c r="GH212" s="14"/>
      <c r="GI212" s="14"/>
      <c r="GJ212" s="14"/>
      <c r="GK212" s="14"/>
      <c r="GL212" s="14"/>
      <c r="GM212" s="14"/>
      <c r="GN212" s="14"/>
      <c r="GO212" s="14"/>
      <c r="GP212" s="14"/>
      <c r="GQ212" s="14"/>
      <c r="GR212" s="14"/>
      <c r="GS212" s="14"/>
      <c r="GT212" s="14"/>
      <c r="GU212" s="14"/>
      <c r="GV212" s="14"/>
      <c r="GW212" s="14"/>
      <c r="GX212" s="14"/>
      <c r="GY212" s="14"/>
      <c r="GZ212" s="14"/>
      <c r="HA212" s="14"/>
      <c r="HB212" s="14"/>
      <c r="HC212" s="14"/>
      <c r="HD212" s="14"/>
      <c r="HE212" s="14"/>
      <c r="HF212" s="14"/>
      <c r="HG212" s="14"/>
      <c r="HH212" s="14"/>
      <c r="HI212" s="14"/>
      <c r="HJ212" s="14"/>
      <c r="HK212" s="14"/>
      <c r="HL212" s="14"/>
      <c r="HM212" s="14"/>
      <c r="HN212" s="14"/>
      <c r="HO212" s="14"/>
      <c r="HP212" s="14"/>
      <c r="HQ212" s="14"/>
      <c r="HR212" s="14"/>
      <c r="HS212" s="14"/>
      <c r="HT212" s="14"/>
      <c r="HU212" s="14"/>
      <c r="HV212" s="14"/>
      <c r="HW212" s="14"/>
      <c r="HX212" s="14"/>
      <c r="HY212" s="14"/>
      <c r="HZ212" s="14"/>
      <c r="IA212" s="14"/>
      <c r="IB212" s="14"/>
      <c r="IC212" s="14"/>
      <c r="ID212" s="14"/>
      <c r="IE212" s="14"/>
      <c r="IF212" s="14"/>
      <c r="IG212" s="14"/>
      <c r="IH212" s="14"/>
      <c r="II212" s="14"/>
      <c r="IJ212" s="14"/>
      <c r="IK212" s="14"/>
      <c r="IL212" s="14"/>
      <c r="IM212" s="14"/>
      <c r="IN212" s="14"/>
      <c r="IO212" s="14"/>
      <c r="IP212" s="14"/>
      <c r="IQ212" s="14"/>
      <c r="IR212" s="14"/>
      <c r="IS212" s="14"/>
      <c r="IT212" s="14"/>
      <c r="IU212" s="14"/>
      <c r="IV212" s="14"/>
      <c r="IW212" s="14"/>
      <c r="IX212" s="14"/>
      <c r="IY212" s="14"/>
      <c r="IZ212" s="14"/>
      <c r="JA212" s="14"/>
      <c r="JB212" s="14"/>
      <c r="JC212" s="14"/>
      <c r="JD212" s="14"/>
      <c r="JE212" s="14"/>
      <c r="JF212" s="14"/>
      <c r="JG212" s="14"/>
      <c r="JH212" s="14"/>
      <c r="JI212" s="14"/>
      <c r="JJ212" s="14"/>
      <c r="JK212" s="14"/>
      <c r="JL212" s="14"/>
      <c r="JM212" s="14"/>
      <c r="JN212" s="14"/>
      <c r="JO212" s="14"/>
      <c r="JP212" s="14"/>
      <c r="JQ212" s="14"/>
      <c r="JR212" s="14"/>
      <c r="JS212" s="14"/>
      <c r="JT212" s="14"/>
      <c r="JU212" s="14"/>
      <c r="JV212" s="14"/>
      <c r="JW212" s="14"/>
      <c r="JX212" s="14"/>
      <c r="JY212" s="14"/>
      <c r="JZ212" s="14"/>
      <c r="KA212" s="14"/>
      <c r="KB212" s="14"/>
      <c r="KC212" s="14"/>
      <c r="KD212" s="14"/>
      <c r="KE212" s="14"/>
      <c r="KF212" s="14"/>
      <c r="KG212" s="14"/>
      <c r="KH212" s="14"/>
      <c r="KI212" s="14"/>
      <c r="KJ212" s="14"/>
      <c r="KK212" s="14"/>
      <c r="KL212" s="14"/>
      <c r="KM212" s="14"/>
      <c r="KN212" s="14"/>
      <c r="KO212" s="14"/>
      <c r="KP212" s="14"/>
      <c r="KQ212" s="14"/>
      <c r="KR212" s="14"/>
      <c r="KS212" s="14"/>
      <c r="KT212" s="14"/>
      <c r="KU212" s="14"/>
      <c r="KV212" s="14"/>
      <c r="KW212" s="14"/>
      <c r="KX212" s="14"/>
      <c r="KY212" s="14"/>
      <c r="KZ212" s="14"/>
      <c r="LA212" s="14"/>
      <c r="LB212" s="14"/>
      <c r="LC212" s="14"/>
      <c r="LD212" s="14"/>
      <c r="LE212" s="14"/>
      <c r="LF212" s="14"/>
      <c r="LG212" s="14"/>
      <c r="LH212" s="14"/>
      <c r="LI212" s="14"/>
      <c r="LJ212" s="14"/>
      <c r="LK212" s="14"/>
      <c r="LL212" s="14"/>
      <c r="LM212" s="14"/>
      <c r="LN212" s="14"/>
      <c r="LO212" s="14"/>
      <c r="LP212" s="14"/>
      <c r="LQ212" s="14"/>
      <c r="LR212" s="14"/>
      <c r="LS212" s="14"/>
      <c r="LT212" s="14"/>
      <c r="LU212" s="14"/>
      <c r="LV212" s="14"/>
      <c r="LW212" s="14"/>
      <c r="LX212" s="14"/>
      <c r="LY212" s="14"/>
      <c r="LZ212" s="14"/>
      <c r="MA212" s="14"/>
      <c r="MB212" s="14"/>
      <c r="MC212" s="14"/>
      <c r="MD212" s="14"/>
      <c r="ME212" s="14"/>
      <c r="MF212" s="14"/>
      <c r="MG212" s="14"/>
      <c r="MH212" s="14"/>
      <c r="MI212" s="14"/>
      <c r="MJ212" s="14"/>
      <c r="MK212" s="14"/>
      <c r="ML212" s="14"/>
      <c r="MM212" s="14"/>
      <c r="MN212" s="14"/>
      <c r="MO212" s="14"/>
      <c r="MP212" s="14"/>
      <c r="MQ212" s="14"/>
      <c r="MR212" s="14"/>
      <c r="MS212" s="14"/>
      <c r="MT212" s="14"/>
      <c r="MU212" s="14"/>
      <c r="MV212" s="14"/>
      <c r="MW212" s="14"/>
      <c r="MX212" s="14"/>
      <c r="MY212" s="14"/>
      <c r="MZ212" s="14"/>
      <c r="NA212" s="14"/>
      <c r="NB212" s="14"/>
      <c r="NC212" s="14"/>
      <c r="ND212" s="14"/>
      <c r="NE212" s="14"/>
      <c r="NF212" s="14"/>
      <c r="NG212" s="14"/>
      <c r="NH212" s="14"/>
      <c r="NI212" s="14"/>
      <c r="NJ212" s="14"/>
      <c r="NK212" s="14"/>
      <c r="NL212" s="14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</row>
    <row r="213" ht="13.5" customHeight="1">
      <c r="A213" s="2"/>
      <c r="B213" s="22"/>
      <c r="C213" s="2"/>
      <c r="D213" s="13"/>
      <c r="E213" s="3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  <c r="DD213" s="14"/>
      <c r="DE213" s="14"/>
      <c r="DF213" s="14"/>
      <c r="DG213" s="14"/>
      <c r="DH213" s="14"/>
      <c r="DI213" s="14"/>
      <c r="DJ213" s="14"/>
      <c r="DK213" s="14"/>
      <c r="DL213" s="14"/>
      <c r="DM213" s="14"/>
      <c r="DN213" s="14"/>
      <c r="DO213" s="14"/>
      <c r="DP213" s="14"/>
      <c r="DQ213" s="14"/>
      <c r="DR213" s="14"/>
      <c r="DS213" s="14"/>
      <c r="DT213" s="14"/>
      <c r="DU213" s="14"/>
      <c r="DV213" s="14"/>
      <c r="DW213" s="14"/>
      <c r="DX213" s="14"/>
      <c r="DY213" s="14"/>
      <c r="DZ213" s="14"/>
      <c r="EA213" s="14"/>
      <c r="EB213" s="14"/>
      <c r="EC213" s="14"/>
      <c r="ED213" s="14"/>
      <c r="EE213" s="14"/>
      <c r="EF213" s="14"/>
      <c r="EG213" s="14"/>
      <c r="EH213" s="14"/>
      <c r="EI213" s="14"/>
      <c r="EJ213" s="14"/>
      <c r="EK213" s="14"/>
      <c r="EL213" s="14"/>
      <c r="EM213" s="14"/>
      <c r="EN213" s="14"/>
      <c r="EO213" s="14"/>
      <c r="EP213" s="14"/>
      <c r="EQ213" s="14"/>
      <c r="ER213" s="14"/>
      <c r="ES213" s="14"/>
      <c r="ET213" s="14"/>
      <c r="EU213" s="14"/>
      <c r="EV213" s="14"/>
      <c r="EW213" s="14"/>
      <c r="EX213" s="14"/>
      <c r="EY213" s="14"/>
      <c r="EZ213" s="14"/>
      <c r="FA213" s="14"/>
      <c r="FB213" s="14"/>
      <c r="FC213" s="14"/>
      <c r="FD213" s="14"/>
      <c r="FE213" s="14"/>
      <c r="FF213" s="14"/>
      <c r="FG213" s="14"/>
      <c r="FH213" s="14"/>
      <c r="FI213" s="14"/>
      <c r="FJ213" s="14"/>
      <c r="FK213" s="14"/>
      <c r="FL213" s="14"/>
      <c r="FM213" s="14"/>
      <c r="FN213" s="14"/>
      <c r="FO213" s="14"/>
      <c r="FP213" s="14"/>
      <c r="FQ213" s="14"/>
      <c r="FR213" s="14"/>
      <c r="FS213" s="14"/>
      <c r="FT213" s="14"/>
      <c r="FU213" s="14"/>
      <c r="FV213" s="14"/>
      <c r="FW213" s="14"/>
      <c r="FX213" s="14"/>
      <c r="FY213" s="14"/>
      <c r="FZ213" s="14"/>
      <c r="GA213" s="14"/>
      <c r="GB213" s="14"/>
      <c r="GC213" s="14"/>
      <c r="GD213" s="14"/>
      <c r="GE213" s="14"/>
      <c r="GF213" s="14"/>
      <c r="GG213" s="14"/>
      <c r="GH213" s="14"/>
      <c r="GI213" s="14"/>
      <c r="GJ213" s="14"/>
      <c r="GK213" s="14"/>
      <c r="GL213" s="14"/>
      <c r="GM213" s="14"/>
      <c r="GN213" s="14"/>
      <c r="GO213" s="14"/>
      <c r="GP213" s="14"/>
      <c r="GQ213" s="14"/>
      <c r="GR213" s="14"/>
      <c r="GS213" s="14"/>
      <c r="GT213" s="14"/>
      <c r="GU213" s="14"/>
      <c r="GV213" s="14"/>
      <c r="GW213" s="14"/>
      <c r="GX213" s="14"/>
      <c r="GY213" s="14"/>
      <c r="GZ213" s="14"/>
      <c r="HA213" s="14"/>
      <c r="HB213" s="14"/>
      <c r="HC213" s="14"/>
      <c r="HD213" s="14"/>
      <c r="HE213" s="14"/>
      <c r="HF213" s="14"/>
      <c r="HG213" s="14"/>
      <c r="HH213" s="14"/>
      <c r="HI213" s="14"/>
      <c r="HJ213" s="14"/>
      <c r="HK213" s="14"/>
      <c r="HL213" s="14"/>
      <c r="HM213" s="14"/>
      <c r="HN213" s="14"/>
      <c r="HO213" s="14"/>
      <c r="HP213" s="14"/>
      <c r="HQ213" s="14"/>
      <c r="HR213" s="14"/>
      <c r="HS213" s="14"/>
      <c r="HT213" s="14"/>
      <c r="HU213" s="14"/>
      <c r="HV213" s="14"/>
      <c r="HW213" s="14"/>
      <c r="HX213" s="14"/>
      <c r="HY213" s="14"/>
      <c r="HZ213" s="14"/>
      <c r="IA213" s="14"/>
      <c r="IB213" s="14"/>
      <c r="IC213" s="14"/>
      <c r="ID213" s="14"/>
      <c r="IE213" s="14"/>
      <c r="IF213" s="14"/>
      <c r="IG213" s="14"/>
      <c r="IH213" s="14"/>
      <c r="II213" s="14"/>
      <c r="IJ213" s="14"/>
      <c r="IK213" s="14"/>
      <c r="IL213" s="14"/>
      <c r="IM213" s="14"/>
      <c r="IN213" s="14"/>
      <c r="IO213" s="14"/>
      <c r="IP213" s="14"/>
      <c r="IQ213" s="14"/>
      <c r="IR213" s="14"/>
      <c r="IS213" s="14"/>
      <c r="IT213" s="14"/>
      <c r="IU213" s="14"/>
      <c r="IV213" s="14"/>
      <c r="IW213" s="14"/>
      <c r="IX213" s="14"/>
      <c r="IY213" s="14"/>
      <c r="IZ213" s="14"/>
      <c r="JA213" s="14"/>
      <c r="JB213" s="14"/>
      <c r="JC213" s="14"/>
      <c r="JD213" s="14"/>
      <c r="JE213" s="14"/>
      <c r="JF213" s="14"/>
      <c r="JG213" s="14"/>
      <c r="JH213" s="14"/>
      <c r="JI213" s="14"/>
      <c r="JJ213" s="14"/>
      <c r="JK213" s="14"/>
      <c r="JL213" s="14"/>
      <c r="JM213" s="14"/>
      <c r="JN213" s="14"/>
      <c r="JO213" s="14"/>
      <c r="JP213" s="14"/>
      <c r="JQ213" s="14"/>
      <c r="JR213" s="14"/>
      <c r="JS213" s="14"/>
      <c r="JT213" s="14"/>
      <c r="JU213" s="14"/>
      <c r="JV213" s="14"/>
      <c r="JW213" s="14"/>
      <c r="JX213" s="14"/>
      <c r="JY213" s="14"/>
      <c r="JZ213" s="14"/>
      <c r="KA213" s="14"/>
      <c r="KB213" s="14"/>
      <c r="KC213" s="14"/>
      <c r="KD213" s="14"/>
      <c r="KE213" s="14"/>
      <c r="KF213" s="14"/>
      <c r="KG213" s="14"/>
      <c r="KH213" s="14"/>
      <c r="KI213" s="14"/>
      <c r="KJ213" s="14"/>
      <c r="KK213" s="14"/>
      <c r="KL213" s="14"/>
      <c r="KM213" s="14"/>
      <c r="KN213" s="14"/>
      <c r="KO213" s="14"/>
      <c r="KP213" s="14"/>
      <c r="KQ213" s="14"/>
      <c r="KR213" s="14"/>
      <c r="KS213" s="14"/>
      <c r="KT213" s="14"/>
      <c r="KU213" s="14"/>
      <c r="KV213" s="14"/>
      <c r="KW213" s="14"/>
      <c r="KX213" s="14"/>
      <c r="KY213" s="14"/>
      <c r="KZ213" s="14"/>
      <c r="LA213" s="14"/>
      <c r="LB213" s="14"/>
      <c r="LC213" s="14"/>
      <c r="LD213" s="14"/>
      <c r="LE213" s="14"/>
      <c r="LF213" s="14"/>
      <c r="LG213" s="14"/>
      <c r="LH213" s="14"/>
      <c r="LI213" s="14"/>
      <c r="LJ213" s="14"/>
      <c r="LK213" s="14"/>
      <c r="LL213" s="14"/>
      <c r="LM213" s="14"/>
      <c r="LN213" s="14"/>
      <c r="LO213" s="14"/>
      <c r="LP213" s="14"/>
      <c r="LQ213" s="14"/>
      <c r="LR213" s="14"/>
      <c r="LS213" s="14"/>
      <c r="LT213" s="14"/>
      <c r="LU213" s="14"/>
      <c r="LV213" s="14"/>
      <c r="LW213" s="14"/>
      <c r="LX213" s="14"/>
      <c r="LY213" s="14"/>
      <c r="LZ213" s="14"/>
      <c r="MA213" s="14"/>
      <c r="MB213" s="14"/>
      <c r="MC213" s="14"/>
      <c r="MD213" s="14"/>
      <c r="ME213" s="14"/>
      <c r="MF213" s="14"/>
      <c r="MG213" s="14"/>
      <c r="MH213" s="14"/>
      <c r="MI213" s="14"/>
      <c r="MJ213" s="14"/>
      <c r="MK213" s="14"/>
      <c r="ML213" s="14"/>
      <c r="MM213" s="14"/>
      <c r="MN213" s="14"/>
      <c r="MO213" s="14"/>
      <c r="MP213" s="14"/>
      <c r="MQ213" s="14"/>
      <c r="MR213" s="14"/>
      <c r="MS213" s="14"/>
      <c r="MT213" s="14"/>
      <c r="MU213" s="14"/>
      <c r="MV213" s="14"/>
      <c r="MW213" s="14"/>
      <c r="MX213" s="14"/>
      <c r="MY213" s="14"/>
      <c r="MZ213" s="14"/>
      <c r="NA213" s="14"/>
      <c r="NB213" s="14"/>
      <c r="NC213" s="14"/>
      <c r="ND213" s="14"/>
      <c r="NE213" s="14"/>
      <c r="NF213" s="14"/>
      <c r="NG213" s="14"/>
      <c r="NH213" s="14"/>
      <c r="NI213" s="14"/>
      <c r="NJ213" s="14"/>
      <c r="NK213" s="14"/>
      <c r="NL213" s="14"/>
      <c r="NM213" s="3"/>
      <c r="NN213" s="3"/>
      <c r="NO213" s="3"/>
      <c r="NP213" s="3"/>
      <c r="NQ213" s="3"/>
      <c r="NR213" s="3"/>
      <c r="NS213" s="3"/>
      <c r="NT213" s="3"/>
      <c r="NU213" s="3"/>
      <c r="NV213" s="3"/>
      <c r="NW213" s="3"/>
      <c r="NX213" s="3"/>
      <c r="NY213" s="3"/>
      <c r="NZ213" s="3"/>
      <c r="OA213" s="3"/>
      <c r="OB213" s="3"/>
      <c r="OC213" s="3"/>
      <c r="OD213" s="3"/>
      <c r="OE213" s="3"/>
      <c r="OF213" s="3"/>
    </row>
    <row r="214" ht="13.5" customHeight="1">
      <c r="A214" s="2"/>
      <c r="B214" s="22"/>
      <c r="C214" s="2"/>
      <c r="D214" s="13"/>
      <c r="E214" s="3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4"/>
      <c r="DF214" s="14"/>
      <c r="DG214" s="14"/>
      <c r="DH214" s="14"/>
      <c r="DI214" s="14"/>
      <c r="DJ214" s="14"/>
      <c r="DK214" s="14"/>
      <c r="DL214" s="14"/>
      <c r="DM214" s="14"/>
      <c r="DN214" s="14"/>
      <c r="DO214" s="14"/>
      <c r="DP214" s="14"/>
      <c r="DQ214" s="14"/>
      <c r="DR214" s="14"/>
      <c r="DS214" s="14"/>
      <c r="DT214" s="14"/>
      <c r="DU214" s="14"/>
      <c r="DV214" s="14"/>
      <c r="DW214" s="14"/>
      <c r="DX214" s="14"/>
      <c r="DY214" s="14"/>
      <c r="DZ214" s="14"/>
      <c r="EA214" s="14"/>
      <c r="EB214" s="14"/>
      <c r="EC214" s="14"/>
      <c r="ED214" s="14"/>
      <c r="EE214" s="14"/>
      <c r="EF214" s="14"/>
      <c r="EG214" s="14"/>
      <c r="EH214" s="14"/>
      <c r="EI214" s="14"/>
      <c r="EJ214" s="14"/>
      <c r="EK214" s="14"/>
      <c r="EL214" s="14"/>
      <c r="EM214" s="14"/>
      <c r="EN214" s="14"/>
      <c r="EO214" s="14"/>
      <c r="EP214" s="14"/>
      <c r="EQ214" s="14"/>
      <c r="ER214" s="14"/>
      <c r="ES214" s="14"/>
      <c r="ET214" s="14"/>
      <c r="EU214" s="14"/>
      <c r="EV214" s="14"/>
      <c r="EW214" s="14"/>
      <c r="EX214" s="14"/>
      <c r="EY214" s="14"/>
      <c r="EZ214" s="14"/>
      <c r="FA214" s="14"/>
      <c r="FB214" s="14"/>
      <c r="FC214" s="14"/>
      <c r="FD214" s="14"/>
      <c r="FE214" s="14"/>
      <c r="FF214" s="14"/>
      <c r="FG214" s="14"/>
      <c r="FH214" s="14"/>
      <c r="FI214" s="14"/>
      <c r="FJ214" s="14"/>
      <c r="FK214" s="14"/>
      <c r="FL214" s="14"/>
      <c r="FM214" s="14"/>
      <c r="FN214" s="14"/>
      <c r="FO214" s="14"/>
      <c r="FP214" s="14"/>
      <c r="FQ214" s="14"/>
      <c r="FR214" s="14"/>
      <c r="FS214" s="14"/>
      <c r="FT214" s="14"/>
      <c r="FU214" s="14"/>
      <c r="FV214" s="14"/>
      <c r="FW214" s="14"/>
      <c r="FX214" s="14"/>
      <c r="FY214" s="14"/>
      <c r="FZ214" s="14"/>
      <c r="GA214" s="14"/>
      <c r="GB214" s="14"/>
      <c r="GC214" s="14"/>
      <c r="GD214" s="14"/>
      <c r="GE214" s="14"/>
      <c r="GF214" s="14"/>
      <c r="GG214" s="14"/>
      <c r="GH214" s="14"/>
      <c r="GI214" s="14"/>
      <c r="GJ214" s="14"/>
      <c r="GK214" s="14"/>
      <c r="GL214" s="14"/>
      <c r="GM214" s="14"/>
      <c r="GN214" s="14"/>
      <c r="GO214" s="14"/>
      <c r="GP214" s="14"/>
      <c r="GQ214" s="14"/>
      <c r="GR214" s="14"/>
      <c r="GS214" s="14"/>
      <c r="GT214" s="14"/>
      <c r="GU214" s="14"/>
      <c r="GV214" s="14"/>
      <c r="GW214" s="14"/>
      <c r="GX214" s="14"/>
      <c r="GY214" s="14"/>
      <c r="GZ214" s="14"/>
      <c r="HA214" s="14"/>
      <c r="HB214" s="14"/>
      <c r="HC214" s="14"/>
      <c r="HD214" s="14"/>
      <c r="HE214" s="14"/>
      <c r="HF214" s="14"/>
      <c r="HG214" s="14"/>
      <c r="HH214" s="14"/>
      <c r="HI214" s="14"/>
      <c r="HJ214" s="14"/>
      <c r="HK214" s="14"/>
      <c r="HL214" s="14"/>
      <c r="HM214" s="14"/>
      <c r="HN214" s="14"/>
      <c r="HO214" s="14"/>
      <c r="HP214" s="14"/>
      <c r="HQ214" s="14"/>
      <c r="HR214" s="14"/>
      <c r="HS214" s="14"/>
      <c r="HT214" s="14"/>
      <c r="HU214" s="14"/>
      <c r="HV214" s="14"/>
      <c r="HW214" s="14"/>
      <c r="HX214" s="14"/>
      <c r="HY214" s="14"/>
      <c r="HZ214" s="14"/>
      <c r="IA214" s="14"/>
      <c r="IB214" s="14"/>
      <c r="IC214" s="14"/>
      <c r="ID214" s="14"/>
      <c r="IE214" s="14"/>
      <c r="IF214" s="14"/>
      <c r="IG214" s="14"/>
      <c r="IH214" s="14"/>
      <c r="II214" s="14"/>
      <c r="IJ214" s="14"/>
      <c r="IK214" s="14"/>
      <c r="IL214" s="14"/>
      <c r="IM214" s="14"/>
      <c r="IN214" s="14"/>
      <c r="IO214" s="14"/>
      <c r="IP214" s="14"/>
      <c r="IQ214" s="14"/>
      <c r="IR214" s="14"/>
      <c r="IS214" s="14"/>
      <c r="IT214" s="14"/>
      <c r="IU214" s="14"/>
      <c r="IV214" s="14"/>
      <c r="IW214" s="14"/>
      <c r="IX214" s="14"/>
      <c r="IY214" s="14"/>
      <c r="IZ214" s="14"/>
      <c r="JA214" s="14"/>
      <c r="JB214" s="14"/>
      <c r="JC214" s="14"/>
      <c r="JD214" s="14"/>
      <c r="JE214" s="14"/>
      <c r="JF214" s="14"/>
      <c r="JG214" s="14"/>
      <c r="JH214" s="14"/>
      <c r="JI214" s="14"/>
      <c r="JJ214" s="14"/>
      <c r="JK214" s="14"/>
      <c r="JL214" s="14"/>
      <c r="JM214" s="14"/>
      <c r="JN214" s="14"/>
      <c r="JO214" s="14"/>
      <c r="JP214" s="14"/>
      <c r="JQ214" s="14"/>
      <c r="JR214" s="14"/>
      <c r="JS214" s="14"/>
      <c r="JT214" s="14"/>
      <c r="JU214" s="14"/>
      <c r="JV214" s="14"/>
      <c r="JW214" s="14"/>
      <c r="JX214" s="14"/>
      <c r="JY214" s="14"/>
      <c r="JZ214" s="14"/>
      <c r="KA214" s="14"/>
      <c r="KB214" s="14"/>
      <c r="KC214" s="14"/>
      <c r="KD214" s="14"/>
      <c r="KE214" s="14"/>
      <c r="KF214" s="14"/>
      <c r="KG214" s="14"/>
      <c r="KH214" s="14"/>
      <c r="KI214" s="14"/>
      <c r="KJ214" s="14"/>
      <c r="KK214" s="14"/>
      <c r="KL214" s="14"/>
      <c r="KM214" s="14"/>
      <c r="KN214" s="14"/>
      <c r="KO214" s="14"/>
      <c r="KP214" s="14"/>
      <c r="KQ214" s="14"/>
      <c r="KR214" s="14"/>
      <c r="KS214" s="14"/>
      <c r="KT214" s="14"/>
      <c r="KU214" s="14"/>
      <c r="KV214" s="14"/>
      <c r="KW214" s="14"/>
      <c r="KX214" s="14"/>
      <c r="KY214" s="14"/>
      <c r="KZ214" s="14"/>
      <c r="LA214" s="14"/>
      <c r="LB214" s="14"/>
      <c r="LC214" s="14"/>
      <c r="LD214" s="14"/>
      <c r="LE214" s="14"/>
      <c r="LF214" s="14"/>
      <c r="LG214" s="14"/>
      <c r="LH214" s="14"/>
      <c r="LI214" s="14"/>
      <c r="LJ214" s="14"/>
      <c r="LK214" s="14"/>
      <c r="LL214" s="14"/>
      <c r="LM214" s="14"/>
      <c r="LN214" s="14"/>
      <c r="LO214" s="14"/>
      <c r="LP214" s="14"/>
      <c r="LQ214" s="14"/>
      <c r="LR214" s="14"/>
      <c r="LS214" s="14"/>
      <c r="LT214" s="14"/>
      <c r="LU214" s="14"/>
      <c r="LV214" s="14"/>
      <c r="LW214" s="14"/>
      <c r="LX214" s="14"/>
      <c r="LY214" s="14"/>
      <c r="LZ214" s="14"/>
      <c r="MA214" s="14"/>
      <c r="MB214" s="14"/>
      <c r="MC214" s="14"/>
      <c r="MD214" s="14"/>
      <c r="ME214" s="14"/>
      <c r="MF214" s="14"/>
      <c r="MG214" s="14"/>
      <c r="MH214" s="14"/>
      <c r="MI214" s="14"/>
      <c r="MJ214" s="14"/>
      <c r="MK214" s="14"/>
      <c r="ML214" s="14"/>
      <c r="MM214" s="14"/>
      <c r="MN214" s="14"/>
      <c r="MO214" s="14"/>
      <c r="MP214" s="14"/>
      <c r="MQ214" s="14"/>
      <c r="MR214" s="14"/>
      <c r="MS214" s="14"/>
      <c r="MT214" s="14"/>
      <c r="MU214" s="14"/>
      <c r="MV214" s="14"/>
      <c r="MW214" s="14"/>
      <c r="MX214" s="14"/>
      <c r="MY214" s="14"/>
      <c r="MZ214" s="14"/>
      <c r="NA214" s="14"/>
      <c r="NB214" s="14"/>
      <c r="NC214" s="14"/>
      <c r="ND214" s="14"/>
      <c r="NE214" s="14"/>
      <c r="NF214" s="14"/>
      <c r="NG214" s="14"/>
      <c r="NH214" s="14"/>
      <c r="NI214" s="14"/>
      <c r="NJ214" s="14"/>
      <c r="NK214" s="14"/>
      <c r="NL214" s="14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</row>
    <row r="215" ht="13.5" customHeight="1">
      <c r="A215" s="2"/>
      <c r="B215" s="22"/>
      <c r="C215" s="2"/>
      <c r="D215" s="13"/>
      <c r="E215" s="3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4"/>
      <c r="DF215" s="14"/>
      <c r="DG215" s="14"/>
      <c r="DH215" s="14"/>
      <c r="DI215" s="14"/>
      <c r="DJ215" s="14"/>
      <c r="DK215" s="14"/>
      <c r="DL215" s="14"/>
      <c r="DM215" s="14"/>
      <c r="DN215" s="14"/>
      <c r="DO215" s="14"/>
      <c r="DP215" s="14"/>
      <c r="DQ215" s="14"/>
      <c r="DR215" s="14"/>
      <c r="DS215" s="14"/>
      <c r="DT215" s="14"/>
      <c r="DU215" s="14"/>
      <c r="DV215" s="14"/>
      <c r="DW215" s="14"/>
      <c r="DX215" s="14"/>
      <c r="DY215" s="14"/>
      <c r="DZ215" s="14"/>
      <c r="EA215" s="14"/>
      <c r="EB215" s="14"/>
      <c r="EC215" s="14"/>
      <c r="ED215" s="14"/>
      <c r="EE215" s="14"/>
      <c r="EF215" s="14"/>
      <c r="EG215" s="14"/>
      <c r="EH215" s="14"/>
      <c r="EI215" s="14"/>
      <c r="EJ215" s="14"/>
      <c r="EK215" s="14"/>
      <c r="EL215" s="14"/>
      <c r="EM215" s="14"/>
      <c r="EN215" s="14"/>
      <c r="EO215" s="14"/>
      <c r="EP215" s="14"/>
      <c r="EQ215" s="14"/>
      <c r="ER215" s="14"/>
      <c r="ES215" s="14"/>
      <c r="ET215" s="14"/>
      <c r="EU215" s="14"/>
      <c r="EV215" s="14"/>
      <c r="EW215" s="14"/>
      <c r="EX215" s="14"/>
      <c r="EY215" s="14"/>
      <c r="EZ215" s="14"/>
      <c r="FA215" s="14"/>
      <c r="FB215" s="14"/>
      <c r="FC215" s="14"/>
      <c r="FD215" s="14"/>
      <c r="FE215" s="14"/>
      <c r="FF215" s="14"/>
      <c r="FG215" s="14"/>
      <c r="FH215" s="14"/>
      <c r="FI215" s="14"/>
      <c r="FJ215" s="14"/>
      <c r="FK215" s="14"/>
      <c r="FL215" s="14"/>
      <c r="FM215" s="14"/>
      <c r="FN215" s="14"/>
      <c r="FO215" s="14"/>
      <c r="FP215" s="14"/>
      <c r="FQ215" s="14"/>
      <c r="FR215" s="14"/>
      <c r="FS215" s="14"/>
      <c r="FT215" s="14"/>
      <c r="FU215" s="14"/>
      <c r="FV215" s="14"/>
      <c r="FW215" s="14"/>
      <c r="FX215" s="14"/>
      <c r="FY215" s="14"/>
      <c r="FZ215" s="14"/>
      <c r="GA215" s="14"/>
      <c r="GB215" s="14"/>
      <c r="GC215" s="14"/>
      <c r="GD215" s="14"/>
      <c r="GE215" s="14"/>
      <c r="GF215" s="14"/>
      <c r="GG215" s="14"/>
      <c r="GH215" s="14"/>
      <c r="GI215" s="14"/>
      <c r="GJ215" s="14"/>
      <c r="GK215" s="14"/>
      <c r="GL215" s="14"/>
      <c r="GM215" s="14"/>
      <c r="GN215" s="14"/>
      <c r="GO215" s="14"/>
      <c r="GP215" s="14"/>
      <c r="GQ215" s="14"/>
      <c r="GR215" s="14"/>
      <c r="GS215" s="14"/>
      <c r="GT215" s="14"/>
      <c r="GU215" s="14"/>
      <c r="GV215" s="14"/>
      <c r="GW215" s="14"/>
      <c r="GX215" s="14"/>
      <c r="GY215" s="14"/>
      <c r="GZ215" s="14"/>
      <c r="HA215" s="14"/>
      <c r="HB215" s="14"/>
      <c r="HC215" s="14"/>
      <c r="HD215" s="14"/>
      <c r="HE215" s="14"/>
      <c r="HF215" s="14"/>
      <c r="HG215" s="14"/>
      <c r="HH215" s="14"/>
      <c r="HI215" s="14"/>
      <c r="HJ215" s="14"/>
      <c r="HK215" s="14"/>
      <c r="HL215" s="14"/>
      <c r="HM215" s="14"/>
      <c r="HN215" s="14"/>
      <c r="HO215" s="14"/>
      <c r="HP215" s="14"/>
      <c r="HQ215" s="14"/>
      <c r="HR215" s="14"/>
      <c r="HS215" s="14"/>
      <c r="HT215" s="14"/>
      <c r="HU215" s="14"/>
      <c r="HV215" s="14"/>
      <c r="HW215" s="14"/>
      <c r="HX215" s="14"/>
      <c r="HY215" s="14"/>
      <c r="HZ215" s="14"/>
      <c r="IA215" s="14"/>
      <c r="IB215" s="14"/>
      <c r="IC215" s="14"/>
      <c r="ID215" s="14"/>
      <c r="IE215" s="14"/>
      <c r="IF215" s="14"/>
      <c r="IG215" s="14"/>
      <c r="IH215" s="14"/>
      <c r="II215" s="14"/>
      <c r="IJ215" s="14"/>
      <c r="IK215" s="14"/>
      <c r="IL215" s="14"/>
      <c r="IM215" s="14"/>
      <c r="IN215" s="14"/>
      <c r="IO215" s="14"/>
      <c r="IP215" s="14"/>
      <c r="IQ215" s="14"/>
      <c r="IR215" s="14"/>
      <c r="IS215" s="14"/>
      <c r="IT215" s="14"/>
      <c r="IU215" s="14"/>
      <c r="IV215" s="14"/>
      <c r="IW215" s="14"/>
      <c r="IX215" s="14"/>
      <c r="IY215" s="14"/>
      <c r="IZ215" s="14"/>
      <c r="JA215" s="14"/>
      <c r="JB215" s="14"/>
      <c r="JC215" s="14"/>
      <c r="JD215" s="14"/>
      <c r="JE215" s="14"/>
      <c r="JF215" s="14"/>
      <c r="JG215" s="14"/>
      <c r="JH215" s="14"/>
      <c r="JI215" s="14"/>
      <c r="JJ215" s="14"/>
      <c r="JK215" s="14"/>
      <c r="JL215" s="14"/>
      <c r="JM215" s="14"/>
      <c r="JN215" s="14"/>
      <c r="JO215" s="14"/>
      <c r="JP215" s="14"/>
      <c r="JQ215" s="14"/>
      <c r="JR215" s="14"/>
      <c r="JS215" s="14"/>
      <c r="JT215" s="14"/>
      <c r="JU215" s="14"/>
      <c r="JV215" s="14"/>
      <c r="JW215" s="14"/>
      <c r="JX215" s="14"/>
      <c r="JY215" s="14"/>
      <c r="JZ215" s="14"/>
      <c r="KA215" s="14"/>
      <c r="KB215" s="14"/>
      <c r="KC215" s="14"/>
      <c r="KD215" s="14"/>
      <c r="KE215" s="14"/>
      <c r="KF215" s="14"/>
      <c r="KG215" s="14"/>
      <c r="KH215" s="14"/>
      <c r="KI215" s="14"/>
      <c r="KJ215" s="14"/>
      <c r="KK215" s="14"/>
      <c r="KL215" s="14"/>
      <c r="KM215" s="14"/>
      <c r="KN215" s="14"/>
      <c r="KO215" s="14"/>
      <c r="KP215" s="14"/>
      <c r="KQ215" s="14"/>
      <c r="KR215" s="14"/>
      <c r="KS215" s="14"/>
      <c r="KT215" s="14"/>
      <c r="KU215" s="14"/>
      <c r="KV215" s="14"/>
      <c r="KW215" s="14"/>
      <c r="KX215" s="14"/>
      <c r="KY215" s="14"/>
      <c r="KZ215" s="14"/>
      <c r="LA215" s="14"/>
      <c r="LB215" s="14"/>
      <c r="LC215" s="14"/>
      <c r="LD215" s="14"/>
      <c r="LE215" s="14"/>
      <c r="LF215" s="14"/>
      <c r="LG215" s="14"/>
      <c r="LH215" s="14"/>
      <c r="LI215" s="14"/>
      <c r="LJ215" s="14"/>
      <c r="LK215" s="14"/>
      <c r="LL215" s="14"/>
      <c r="LM215" s="14"/>
      <c r="LN215" s="14"/>
      <c r="LO215" s="14"/>
      <c r="LP215" s="14"/>
      <c r="LQ215" s="14"/>
      <c r="LR215" s="14"/>
      <c r="LS215" s="14"/>
      <c r="LT215" s="14"/>
      <c r="LU215" s="14"/>
      <c r="LV215" s="14"/>
      <c r="LW215" s="14"/>
      <c r="LX215" s="14"/>
      <c r="LY215" s="14"/>
      <c r="LZ215" s="14"/>
      <c r="MA215" s="14"/>
      <c r="MB215" s="14"/>
      <c r="MC215" s="14"/>
      <c r="MD215" s="14"/>
      <c r="ME215" s="14"/>
      <c r="MF215" s="14"/>
      <c r="MG215" s="14"/>
      <c r="MH215" s="14"/>
      <c r="MI215" s="14"/>
      <c r="MJ215" s="14"/>
      <c r="MK215" s="14"/>
      <c r="ML215" s="14"/>
      <c r="MM215" s="14"/>
      <c r="MN215" s="14"/>
      <c r="MO215" s="14"/>
      <c r="MP215" s="14"/>
      <c r="MQ215" s="14"/>
      <c r="MR215" s="14"/>
      <c r="MS215" s="14"/>
      <c r="MT215" s="14"/>
      <c r="MU215" s="14"/>
      <c r="MV215" s="14"/>
      <c r="MW215" s="14"/>
      <c r="MX215" s="14"/>
      <c r="MY215" s="14"/>
      <c r="MZ215" s="14"/>
      <c r="NA215" s="14"/>
      <c r="NB215" s="14"/>
      <c r="NC215" s="14"/>
      <c r="ND215" s="14"/>
      <c r="NE215" s="14"/>
      <c r="NF215" s="14"/>
      <c r="NG215" s="14"/>
      <c r="NH215" s="14"/>
      <c r="NI215" s="14"/>
      <c r="NJ215" s="14"/>
      <c r="NK215" s="14"/>
      <c r="NL215" s="14"/>
      <c r="NM215" s="3"/>
      <c r="NN215" s="3"/>
      <c r="NO215" s="3"/>
      <c r="NP215" s="3"/>
      <c r="NQ215" s="3"/>
      <c r="NR215" s="3"/>
      <c r="NS215" s="3"/>
      <c r="NT215" s="3"/>
      <c r="NU215" s="3"/>
      <c r="NV215" s="3"/>
      <c r="NW215" s="3"/>
      <c r="NX215" s="3"/>
      <c r="NY215" s="3"/>
      <c r="NZ215" s="3"/>
      <c r="OA215" s="3"/>
      <c r="OB215" s="3"/>
      <c r="OC215" s="3"/>
      <c r="OD215" s="3"/>
      <c r="OE215" s="3"/>
      <c r="OF215" s="3"/>
    </row>
    <row r="216" ht="13.5" customHeight="1">
      <c r="A216" s="2"/>
      <c r="B216" s="22"/>
      <c r="C216" s="2"/>
      <c r="D216" s="13"/>
      <c r="E216" s="3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4"/>
      <c r="DF216" s="14"/>
      <c r="DG216" s="14"/>
      <c r="DH216" s="14"/>
      <c r="DI216" s="14"/>
      <c r="DJ216" s="14"/>
      <c r="DK216" s="14"/>
      <c r="DL216" s="14"/>
      <c r="DM216" s="14"/>
      <c r="DN216" s="14"/>
      <c r="DO216" s="14"/>
      <c r="DP216" s="14"/>
      <c r="DQ216" s="14"/>
      <c r="DR216" s="14"/>
      <c r="DS216" s="14"/>
      <c r="DT216" s="14"/>
      <c r="DU216" s="14"/>
      <c r="DV216" s="14"/>
      <c r="DW216" s="14"/>
      <c r="DX216" s="14"/>
      <c r="DY216" s="14"/>
      <c r="DZ216" s="14"/>
      <c r="EA216" s="14"/>
      <c r="EB216" s="14"/>
      <c r="EC216" s="14"/>
      <c r="ED216" s="14"/>
      <c r="EE216" s="14"/>
      <c r="EF216" s="14"/>
      <c r="EG216" s="14"/>
      <c r="EH216" s="14"/>
      <c r="EI216" s="14"/>
      <c r="EJ216" s="14"/>
      <c r="EK216" s="14"/>
      <c r="EL216" s="14"/>
      <c r="EM216" s="14"/>
      <c r="EN216" s="14"/>
      <c r="EO216" s="14"/>
      <c r="EP216" s="14"/>
      <c r="EQ216" s="14"/>
      <c r="ER216" s="14"/>
      <c r="ES216" s="14"/>
      <c r="ET216" s="14"/>
      <c r="EU216" s="14"/>
      <c r="EV216" s="14"/>
      <c r="EW216" s="14"/>
      <c r="EX216" s="14"/>
      <c r="EY216" s="14"/>
      <c r="EZ216" s="14"/>
      <c r="FA216" s="14"/>
      <c r="FB216" s="14"/>
      <c r="FC216" s="14"/>
      <c r="FD216" s="14"/>
      <c r="FE216" s="14"/>
      <c r="FF216" s="14"/>
      <c r="FG216" s="14"/>
      <c r="FH216" s="14"/>
      <c r="FI216" s="14"/>
      <c r="FJ216" s="14"/>
      <c r="FK216" s="14"/>
      <c r="FL216" s="14"/>
      <c r="FM216" s="14"/>
      <c r="FN216" s="14"/>
      <c r="FO216" s="14"/>
      <c r="FP216" s="14"/>
      <c r="FQ216" s="14"/>
      <c r="FR216" s="14"/>
      <c r="FS216" s="14"/>
      <c r="FT216" s="14"/>
      <c r="FU216" s="14"/>
      <c r="FV216" s="14"/>
      <c r="FW216" s="14"/>
      <c r="FX216" s="14"/>
      <c r="FY216" s="14"/>
      <c r="FZ216" s="14"/>
      <c r="GA216" s="14"/>
      <c r="GB216" s="14"/>
      <c r="GC216" s="14"/>
      <c r="GD216" s="14"/>
      <c r="GE216" s="14"/>
      <c r="GF216" s="14"/>
      <c r="GG216" s="14"/>
      <c r="GH216" s="14"/>
      <c r="GI216" s="14"/>
      <c r="GJ216" s="14"/>
      <c r="GK216" s="14"/>
      <c r="GL216" s="14"/>
      <c r="GM216" s="14"/>
      <c r="GN216" s="14"/>
      <c r="GO216" s="14"/>
      <c r="GP216" s="14"/>
      <c r="GQ216" s="14"/>
      <c r="GR216" s="14"/>
      <c r="GS216" s="14"/>
      <c r="GT216" s="14"/>
      <c r="GU216" s="14"/>
      <c r="GV216" s="14"/>
      <c r="GW216" s="14"/>
      <c r="GX216" s="14"/>
      <c r="GY216" s="14"/>
      <c r="GZ216" s="14"/>
      <c r="HA216" s="14"/>
      <c r="HB216" s="14"/>
      <c r="HC216" s="14"/>
      <c r="HD216" s="14"/>
      <c r="HE216" s="14"/>
      <c r="HF216" s="14"/>
      <c r="HG216" s="14"/>
      <c r="HH216" s="14"/>
      <c r="HI216" s="14"/>
      <c r="HJ216" s="14"/>
      <c r="HK216" s="14"/>
      <c r="HL216" s="14"/>
      <c r="HM216" s="14"/>
      <c r="HN216" s="14"/>
      <c r="HO216" s="14"/>
      <c r="HP216" s="14"/>
      <c r="HQ216" s="14"/>
      <c r="HR216" s="14"/>
      <c r="HS216" s="14"/>
      <c r="HT216" s="14"/>
      <c r="HU216" s="14"/>
      <c r="HV216" s="14"/>
      <c r="HW216" s="14"/>
      <c r="HX216" s="14"/>
      <c r="HY216" s="14"/>
      <c r="HZ216" s="14"/>
      <c r="IA216" s="14"/>
      <c r="IB216" s="14"/>
      <c r="IC216" s="14"/>
      <c r="ID216" s="14"/>
      <c r="IE216" s="14"/>
      <c r="IF216" s="14"/>
      <c r="IG216" s="14"/>
      <c r="IH216" s="14"/>
      <c r="II216" s="14"/>
      <c r="IJ216" s="14"/>
      <c r="IK216" s="14"/>
      <c r="IL216" s="14"/>
      <c r="IM216" s="14"/>
      <c r="IN216" s="14"/>
      <c r="IO216" s="14"/>
      <c r="IP216" s="14"/>
      <c r="IQ216" s="14"/>
      <c r="IR216" s="14"/>
      <c r="IS216" s="14"/>
      <c r="IT216" s="14"/>
      <c r="IU216" s="14"/>
      <c r="IV216" s="14"/>
      <c r="IW216" s="14"/>
      <c r="IX216" s="14"/>
      <c r="IY216" s="14"/>
      <c r="IZ216" s="14"/>
      <c r="JA216" s="14"/>
      <c r="JB216" s="14"/>
      <c r="JC216" s="14"/>
      <c r="JD216" s="14"/>
      <c r="JE216" s="14"/>
      <c r="JF216" s="14"/>
      <c r="JG216" s="14"/>
      <c r="JH216" s="14"/>
      <c r="JI216" s="14"/>
      <c r="JJ216" s="14"/>
      <c r="JK216" s="14"/>
      <c r="JL216" s="14"/>
      <c r="JM216" s="14"/>
      <c r="JN216" s="14"/>
      <c r="JO216" s="14"/>
      <c r="JP216" s="14"/>
      <c r="JQ216" s="14"/>
      <c r="JR216" s="14"/>
      <c r="JS216" s="14"/>
      <c r="JT216" s="14"/>
      <c r="JU216" s="14"/>
      <c r="JV216" s="14"/>
      <c r="JW216" s="14"/>
      <c r="JX216" s="14"/>
      <c r="JY216" s="14"/>
      <c r="JZ216" s="14"/>
      <c r="KA216" s="14"/>
      <c r="KB216" s="14"/>
      <c r="KC216" s="14"/>
      <c r="KD216" s="14"/>
      <c r="KE216" s="14"/>
      <c r="KF216" s="14"/>
      <c r="KG216" s="14"/>
      <c r="KH216" s="14"/>
      <c r="KI216" s="14"/>
      <c r="KJ216" s="14"/>
      <c r="KK216" s="14"/>
      <c r="KL216" s="14"/>
      <c r="KM216" s="14"/>
      <c r="KN216" s="14"/>
      <c r="KO216" s="14"/>
      <c r="KP216" s="14"/>
      <c r="KQ216" s="14"/>
      <c r="KR216" s="14"/>
      <c r="KS216" s="14"/>
      <c r="KT216" s="14"/>
      <c r="KU216" s="14"/>
      <c r="KV216" s="14"/>
      <c r="KW216" s="14"/>
      <c r="KX216" s="14"/>
      <c r="KY216" s="14"/>
      <c r="KZ216" s="14"/>
      <c r="LA216" s="14"/>
      <c r="LB216" s="14"/>
      <c r="LC216" s="14"/>
      <c r="LD216" s="14"/>
      <c r="LE216" s="14"/>
      <c r="LF216" s="14"/>
      <c r="LG216" s="14"/>
      <c r="LH216" s="14"/>
      <c r="LI216" s="14"/>
      <c r="LJ216" s="14"/>
      <c r="LK216" s="14"/>
      <c r="LL216" s="14"/>
      <c r="LM216" s="14"/>
      <c r="LN216" s="14"/>
      <c r="LO216" s="14"/>
      <c r="LP216" s="14"/>
      <c r="LQ216" s="14"/>
      <c r="LR216" s="14"/>
      <c r="LS216" s="14"/>
      <c r="LT216" s="14"/>
      <c r="LU216" s="14"/>
      <c r="LV216" s="14"/>
      <c r="LW216" s="14"/>
      <c r="LX216" s="14"/>
      <c r="LY216" s="14"/>
      <c r="LZ216" s="14"/>
      <c r="MA216" s="14"/>
      <c r="MB216" s="14"/>
      <c r="MC216" s="14"/>
      <c r="MD216" s="14"/>
      <c r="ME216" s="14"/>
      <c r="MF216" s="14"/>
      <c r="MG216" s="14"/>
      <c r="MH216" s="14"/>
      <c r="MI216" s="14"/>
      <c r="MJ216" s="14"/>
      <c r="MK216" s="14"/>
      <c r="ML216" s="14"/>
      <c r="MM216" s="14"/>
      <c r="MN216" s="14"/>
      <c r="MO216" s="14"/>
      <c r="MP216" s="14"/>
      <c r="MQ216" s="14"/>
      <c r="MR216" s="14"/>
      <c r="MS216" s="14"/>
      <c r="MT216" s="14"/>
      <c r="MU216" s="14"/>
      <c r="MV216" s="14"/>
      <c r="MW216" s="14"/>
      <c r="MX216" s="14"/>
      <c r="MY216" s="14"/>
      <c r="MZ216" s="14"/>
      <c r="NA216" s="14"/>
      <c r="NB216" s="14"/>
      <c r="NC216" s="14"/>
      <c r="ND216" s="14"/>
      <c r="NE216" s="14"/>
      <c r="NF216" s="14"/>
      <c r="NG216" s="14"/>
      <c r="NH216" s="14"/>
      <c r="NI216" s="14"/>
      <c r="NJ216" s="14"/>
      <c r="NK216" s="14"/>
      <c r="NL216" s="14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</row>
    <row r="217" ht="13.5" customHeight="1">
      <c r="A217" s="2"/>
      <c r="B217" s="22"/>
      <c r="C217" s="2"/>
      <c r="D217" s="13"/>
      <c r="E217" s="3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  <c r="DE217" s="14"/>
      <c r="DF217" s="14"/>
      <c r="DG217" s="14"/>
      <c r="DH217" s="14"/>
      <c r="DI217" s="14"/>
      <c r="DJ217" s="14"/>
      <c r="DK217" s="14"/>
      <c r="DL217" s="14"/>
      <c r="DM217" s="14"/>
      <c r="DN217" s="14"/>
      <c r="DO217" s="14"/>
      <c r="DP217" s="14"/>
      <c r="DQ217" s="14"/>
      <c r="DR217" s="14"/>
      <c r="DS217" s="14"/>
      <c r="DT217" s="14"/>
      <c r="DU217" s="14"/>
      <c r="DV217" s="14"/>
      <c r="DW217" s="14"/>
      <c r="DX217" s="14"/>
      <c r="DY217" s="14"/>
      <c r="DZ217" s="14"/>
      <c r="EA217" s="14"/>
      <c r="EB217" s="14"/>
      <c r="EC217" s="14"/>
      <c r="ED217" s="14"/>
      <c r="EE217" s="14"/>
      <c r="EF217" s="14"/>
      <c r="EG217" s="14"/>
      <c r="EH217" s="14"/>
      <c r="EI217" s="14"/>
      <c r="EJ217" s="14"/>
      <c r="EK217" s="14"/>
      <c r="EL217" s="14"/>
      <c r="EM217" s="14"/>
      <c r="EN217" s="14"/>
      <c r="EO217" s="14"/>
      <c r="EP217" s="14"/>
      <c r="EQ217" s="14"/>
      <c r="ER217" s="14"/>
      <c r="ES217" s="14"/>
      <c r="ET217" s="14"/>
      <c r="EU217" s="14"/>
      <c r="EV217" s="14"/>
      <c r="EW217" s="14"/>
      <c r="EX217" s="14"/>
      <c r="EY217" s="14"/>
      <c r="EZ217" s="14"/>
      <c r="FA217" s="14"/>
      <c r="FB217" s="14"/>
      <c r="FC217" s="14"/>
      <c r="FD217" s="14"/>
      <c r="FE217" s="14"/>
      <c r="FF217" s="14"/>
      <c r="FG217" s="14"/>
      <c r="FH217" s="14"/>
      <c r="FI217" s="14"/>
      <c r="FJ217" s="14"/>
      <c r="FK217" s="14"/>
      <c r="FL217" s="14"/>
      <c r="FM217" s="14"/>
      <c r="FN217" s="14"/>
      <c r="FO217" s="14"/>
      <c r="FP217" s="14"/>
      <c r="FQ217" s="14"/>
      <c r="FR217" s="14"/>
      <c r="FS217" s="14"/>
      <c r="FT217" s="14"/>
      <c r="FU217" s="14"/>
      <c r="FV217" s="14"/>
      <c r="FW217" s="14"/>
      <c r="FX217" s="14"/>
      <c r="FY217" s="14"/>
      <c r="FZ217" s="14"/>
      <c r="GA217" s="14"/>
      <c r="GB217" s="14"/>
      <c r="GC217" s="14"/>
      <c r="GD217" s="14"/>
      <c r="GE217" s="14"/>
      <c r="GF217" s="14"/>
      <c r="GG217" s="14"/>
      <c r="GH217" s="14"/>
      <c r="GI217" s="14"/>
      <c r="GJ217" s="14"/>
      <c r="GK217" s="14"/>
      <c r="GL217" s="14"/>
      <c r="GM217" s="14"/>
      <c r="GN217" s="14"/>
      <c r="GO217" s="14"/>
      <c r="GP217" s="14"/>
      <c r="GQ217" s="14"/>
      <c r="GR217" s="14"/>
      <c r="GS217" s="14"/>
      <c r="GT217" s="14"/>
      <c r="GU217" s="14"/>
      <c r="GV217" s="14"/>
      <c r="GW217" s="14"/>
      <c r="GX217" s="14"/>
      <c r="GY217" s="14"/>
      <c r="GZ217" s="14"/>
      <c r="HA217" s="14"/>
      <c r="HB217" s="14"/>
      <c r="HC217" s="14"/>
      <c r="HD217" s="14"/>
      <c r="HE217" s="14"/>
      <c r="HF217" s="14"/>
      <c r="HG217" s="14"/>
      <c r="HH217" s="14"/>
      <c r="HI217" s="14"/>
      <c r="HJ217" s="14"/>
      <c r="HK217" s="14"/>
      <c r="HL217" s="14"/>
      <c r="HM217" s="14"/>
      <c r="HN217" s="14"/>
      <c r="HO217" s="14"/>
      <c r="HP217" s="14"/>
      <c r="HQ217" s="14"/>
      <c r="HR217" s="14"/>
      <c r="HS217" s="14"/>
      <c r="HT217" s="14"/>
      <c r="HU217" s="14"/>
      <c r="HV217" s="14"/>
      <c r="HW217" s="14"/>
      <c r="HX217" s="14"/>
      <c r="HY217" s="14"/>
      <c r="HZ217" s="14"/>
      <c r="IA217" s="14"/>
      <c r="IB217" s="14"/>
      <c r="IC217" s="14"/>
      <c r="ID217" s="14"/>
      <c r="IE217" s="14"/>
      <c r="IF217" s="14"/>
      <c r="IG217" s="14"/>
      <c r="IH217" s="14"/>
      <c r="II217" s="14"/>
      <c r="IJ217" s="14"/>
      <c r="IK217" s="14"/>
      <c r="IL217" s="14"/>
      <c r="IM217" s="14"/>
      <c r="IN217" s="14"/>
      <c r="IO217" s="14"/>
      <c r="IP217" s="14"/>
      <c r="IQ217" s="14"/>
      <c r="IR217" s="14"/>
      <c r="IS217" s="14"/>
      <c r="IT217" s="14"/>
      <c r="IU217" s="14"/>
      <c r="IV217" s="14"/>
      <c r="IW217" s="14"/>
      <c r="IX217" s="14"/>
      <c r="IY217" s="14"/>
      <c r="IZ217" s="14"/>
      <c r="JA217" s="14"/>
      <c r="JB217" s="14"/>
      <c r="JC217" s="14"/>
      <c r="JD217" s="14"/>
      <c r="JE217" s="14"/>
      <c r="JF217" s="14"/>
      <c r="JG217" s="14"/>
      <c r="JH217" s="14"/>
      <c r="JI217" s="14"/>
      <c r="JJ217" s="14"/>
      <c r="JK217" s="14"/>
      <c r="JL217" s="14"/>
      <c r="JM217" s="14"/>
      <c r="JN217" s="14"/>
      <c r="JO217" s="14"/>
      <c r="JP217" s="14"/>
      <c r="JQ217" s="14"/>
      <c r="JR217" s="14"/>
      <c r="JS217" s="14"/>
      <c r="JT217" s="14"/>
      <c r="JU217" s="14"/>
      <c r="JV217" s="14"/>
      <c r="JW217" s="14"/>
      <c r="JX217" s="14"/>
      <c r="JY217" s="14"/>
      <c r="JZ217" s="14"/>
      <c r="KA217" s="14"/>
      <c r="KB217" s="14"/>
      <c r="KC217" s="14"/>
      <c r="KD217" s="14"/>
      <c r="KE217" s="14"/>
      <c r="KF217" s="14"/>
      <c r="KG217" s="14"/>
      <c r="KH217" s="14"/>
      <c r="KI217" s="14"/>
      <c r="KJ217" s="14"/>
      <c r="KK217" s="14"/>
      <c r="KL217" s="14"/>
      <c r="KM217" s="14"/>
      <c r="KN217" s="14"/>
      <c r="KO217" s="14"/>
      <c r="KP217" s="14"/>
      <c r="KQ217" s="14"/>
      <c r="KR217" s="14"/>
      <c r="KS217" s="14"/>
      <c r="KT217" s="14"/>
      <c r="KU217" s="14"/>
      <c r="KV217" s="14"/>
      <c r="KW217" s="14"/>
      <c r="KX217" s="14"/>
      <c r="KY217" s="14"/>
      <c r="KZ217" s="14"/>
      <c r="LA217" s="14"/>
      <c r="LB217" s="14"/>
      <c r="LC217" s="14"/>
      <c r="LD217" s="14"/>
      <c r="LE217" s="14"/>
      <c r="LF217" s="14"/>
      <c r="LG217" s="14"/>
      <c r="LH217" s="14"/>
      <c r="LI217" s="14"/>
      <c r="LJ217" s="14"/>
      <c r="LK217" s="14"/>
      <c r="LL217" s="14"/>
      <c r="LM217" s="14"/>
      <c r="LN217" s="14"/>
      <c r="LO217" s="14"/>
      <c r="LP217" s="14"/>
      <c r="LQ217" s="14"/>
      <c r="LR217" s="14"/>
      <c r="LS217" s="14"/>
      <c r="LT217" s="14"/>
      <c r="LU217" s="14"/>
      <c r="LV217" s="14"/>
      <c r="LW217" s="14"/>
      <c r="LX217" s="14"/>
      <c r="LY217" s="14"/>
      <c r="LZ217" s="14"/>
      <c r="MA217" s="14"/>
      <c r="MB217" s="14"/>
      <c r="MC217" s="14"/>
      <c r="MD217" s="14"/>
      <c r="ME217" s="14"/>
      <c r="MF217" s="14"/>
      <c r="MG217" s="14"/>
      <c r="MH217" s="14"/>
      <c r="MI217" s="14"/>
      <c r="MJ217" s="14"/>
      <c r="MK217" s="14"/>
      <c r="ML217" s="14"/>
      <c r="MM217" s="14"/>
      <c r="MN217" s="14"/>
      <c r="MO217" s="14"/>
      <c r="MP217" s="14"/>
      <c r="MQ217" s="14"/>
      <c r="MR217" s="14"/>
      <c r="MS217" s="14"/>
      <c r="MT217" s="14"/>
      <c r="MU217" s="14"/>
      <c r="MV217" s="14"/>
      <c r="MW217" s="14"/>
      <c r="MX217" s="14"/>
      <c r="MY217" s="14"/>
      <c r="MZ217" s="14"/>
      <c r="NA217" s="14"/>
      <c r="NB217" s="14"/>
      <c r="NC217" s="14"/>
      <c r="ND217" s="14"/>
      <c r="NE217" s="14"/>
      <c r="NF217" s="14"/>
      <c r="NG217" s="14"/>
      <c r="NH217" s="14"/>
      <c r="NI217" s="14"/>
      <c r="NJ217" s="14"/>
      <c r="NK217" s="14"/>
      <c r="NL217" s="14"/>
      <c r="NM217" s="3"/>
      <c r="NN217" s="3"/>
      <c r="NO217" s="3"/>
      <c r="NP217" s="3"/>
      <c r="NQ217" s="3"/>
      <c r="NR217" s="3"/>
      <c r="NS217" s="3"/>
      <c r="NT217" s="3"/>
      <c r="NU217" s="3"/>
      <c r="NV217" s="3"/>
      <c r="NW217" s="3"/>
      <c r="NX217" s="3"/>
      <c r="NY217" s="3"/>
      <c r="NZ217" s="3"/>
      <c r="OA217" s="3"/>
      <c r="OB217" s="3"/>
      <c r="OC217" s="3"/>
      <c r="OD217" s="3"/>
      <c r="OE217" s="3"/>
      <c r="OF217" s="3"/>
    </row>
    <row r="218" ht="13.5" customHeight="1">
      <c r="A218" s="2"/>
      <c r="B218" s="22"/>
      <c r="C218" s="2"/>
      <c r="D218" s="13"/>
      <c r="E218" s="3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  <c r="DF218" s="14"/>
      <c r="DG218" s="14"/>
      <c r="DH218" s="14"/>
      <c r="DI218" s="14"/>
      <c r="DJ218" s="14"/>
      <c r="DK218" s="14"/>
      <c r="DL218" s="14"/>
      <c r="DM218" s="14"/>
      <c r="DN218" s="14"/>
      <c r="DO218" s="14"/>
      <c r="DP218" s="14"/>
      <c r="DQ218" s="14"/>
      <c r="DR218" s="14"/>
      <c r="DS218" s="14"/>
      <c r="DT218" s="14"/>
      <c r="DU218" s="14"/>
      <c r="DV218" s="14"/>
      <c r="DW218" s="14"/>
      <c r="DX218" s="14"/>
      <c r="DY218" s="14"/>
      <c r="DZ218" s="14"/>
      <c r="EA218" s="14"/>
      <c r="EB218" s="14"/>
      <c r="EC218" s="14"/>
      <c r="ED218" s="14"/>
      <c r="EE218" s="14"/>
      <c r="EF218" s="14"/>
      <c r="EG218" s="14"/>
      <c r="EH218" s="14"/>
      <c r="EI218" s="14"/>
      <c r="EJ218" s="14"/>
      <c r="EK218" s="14"/>
      <c r="EL218" s="14"/>
      <c r="EM218" s="14"/>
      <c r="EN218" s="14"/>
      <c r="EO218" s="14"/>
      <c r="EP218" s="14"/>
      <c r="EQ218" s="14"/>
      <c r="ER218" s="14"/>
      <c r="ES218" s="14"/>
      <c r="ET218" s="14"/>
      <c r="EU218" s="14"/>
      <c r="EV218" s="14"/>
      <c r="EW218" s="14"/>
      <c r="EX218" s="14"/>
      <c r="EY218" s="14"/>
      <c r="EZ218" s="14"/>
      <c r="FA218" s="14"/>
      <c r="FB218" s="14"/>
      <c r="FC218" s="14"/>
      <c r="FD218" s="14"/>
      <c r="FE218" s="14"/>
      <c r="FF218" s="14"/>
      <c r="FG218" s="14"/>
      <c r="FH218" s="14"/>
      <c r="FI218" s="14"/>
      <c r="FJ218" s="14"/>
      <c r="FK218" s="14"/>
      <c r="FL218" s="14"/>
      <c r="FM218" s="14"/>
      <c r="FN218" s="14"/>
      <c r="FO218" s="14"/>
      <c r="FP218" s="14"/>
      <c r="FQ218" s="14"/>
      <c r="FR218" s="14"/>
      <c r="FS218" s="14"/>
      <c r="FT218" s="14"/>
      <c r="FU218" s="14"/>
      <c r="FV218" s="14"/>
      <c r="FW218" s="14"/>
      <c r="FX218" s="14"/>
      <c r="FY218" s="14"/>
      <c r="FZ218" s="14"/>
      <c r="GA218" s="14"/>
      <c r="GB218" s="14"/>
      <c r="GC218" s="14"/>
      <c r="GD218" s="14"/>
      <c r="GE218" s="14"/>
      <c r="GF218" s="14"/>
      <c r="GG218" s="14"/>
      <c r="GH218" s="14"/>
      <c r="GI218" s="14"/>
      <c r="GJ218" s="14"/>
      <c r="GK218" s="14"/>
      <c r="GL218" s="14"/>
      <c r="GM218" s="14"/>
      <c r="GN218" s="14"/>
      <c r="GO218" s="14"/>
      <c r="GP218" s="14"/>
      <c r="GQ218" s="14"/>
      <c r="GR218" s="14"/>
      <c r="GS218" s="14"/>
      <c r="GT218" s="14"/>
      <c r="GU218" s="14"/>
      <c r="GV218" s="14"/>
      <c r="GW218" s="14"/>
      <c r="GX218" s="14"/>
      <c r="GY218" s="14"/>
      <c r="GZ218" s="14"/>
      <c r="HA218" s="14"/>
      <c r="HB218" s="14"/>
      <c r="HC218" s="14"/>
      <c r="HD218" s="14"/>
      <c r="HE218" s="14"/>
      <c r="HF218" s="14"/>
      <c r="HG218" s="14"/>
      <c r="HH218" s="14"/>
      <c r="HI218" s="14"/>
      <c r="HJ218" s="14"/>
      <c r="HK218" s="14"/>
      <c r="HL218" s="14"/>
      <c r="HM218" s="14"/>
      <c r="HN218" s="14"/>
      <c r="HO218" s="14"/>
      <c r="HP218" s="14"/>
      <c r="HQ218" s="14"/>
      <c r="HR218" s="14"/>
      <c r="HS218" s="14"/>
      <c r="HT218" s="14"/>
      <c r="HU218" s="14"/>
      <c r="HV218" s="14"/>
      <c r="HW218" s="14"/>
      <c r="HX218" s="14"/>
      <c r="HY218" s="14"/>
      <c r="HZ218" s="14"/>
      <c r="IA218" s="14"/>
      <c r="IB218" s="14"/>
      <c r="IC218" s="14"/>
      <c r="ID218" s="14"/>
      <c r="IE218" s="14"/>
      <c r="IF218" s="14"/>
      <c r="IG218" s="14"/>
      <c r="IH218" s="14"/>
      <c r="II218" s="14"/>
      <c r="IJ218" s="14"/>
      <c r="IK218" s="14"/>
      <c r="IL218" s="14"/>
      <c r="IM218" s="14"/>
      <c r="IN218" s="14"/>
      <c r="IO218" s="14"/>
      <c r="IP218" s="14"/>
      <c r="IQ218" s="14"/>
      <c r="IR218" s="14"/>
      <c r="IS218" s="14"/>
      <c r="IT218" s="14"/>
      <c r="IU218" s="14"/>
      <c r="IV218" s="14"/>
      <c r="IW218" s="14"/>
      <c r="IX218" s="14"/>
      <c r="IY218" s="14"/>
      <c r="IZ218" s="14"/>
      <c r="JA218" s="14"/>
      <c r="JB218" s="14"/>
      <c r="JC218" s="14"/>
      <c r="JD218" s="14"/>
      <c r="JE218" s="14"/>
      <c r="JF218" s="14"/>
      <c r="JG218" s="14"/>
      <c r="JH218" s="14"/>
      <c r="JI218" s="14"/>
      <c r="JJ218" s="14"/>
      <c r="JK218" s="14"/>
      <c r="JL218" s="14"/>
      <c r="JM218" s="14"/>
      <c r="JN218" s="14"/>
      <c r="JO218" s="14"/>
      <c r="JP218" s="14"/>
      <c r="JQ218" s="14"/>
      <c r="JR218" s="14"/>
      <c r="JS218" s="14"/>
      <c r="JT218" s="14"/>
      <c r="JU218" s="14"/>
      <c r="JV218" s="14"/>
      <c r="JW218" s="14"/>
      <c r="JX218" s="14"/>
      <c r="JY218" s="14"/>
      <c r="JZ218" s="14"/>
      <c r="KA218" s="14"/>
      <c r="KB218" s="14"/>
      <c r="KC218" s="14"/>
      <c r="KD218" s="14"/>
      <c r="KE218" s="14"/>
      <c r="KF218" s="14"/>
      <c r="KG218" s="14"/>
      <c r="KH218" s="14"/>
      <c r="KI218" s="14"/>
      <c r="KJ218" s="14"/>
      <c r="KK218" s="14"/>
      <c r="KL218" s="14"/>
      <c r="KM218" s="14"/>
      <c r="KN218" s="14"/>
      <c r="KO218" s="14"/>
      <c r="KP218" s="14"/>
      <c r="KQ218" s="14"/>
      <c r="KR218" s="14"/>
      <c r="KS218" s="14"/>
      <c r="KT218" s="14"/>
      <c r="KU218" s="14"/>
      <c r="KV218" s="14"/>
      <c r="KW218" s="14"/>
      <c r="KX218" s="14"/>
      <c r="KY218" s="14"/>
      <c r="KZ218" s="14"/>
      <c r="LA218" s="14"/>
      <c r="LB218" s="14"/>
      <c r="LC218" s="14"/>
      <c r="LD218" s="14"/>
      <c r="LE218" s="14"/>
      <c r="LF218" s="14"/>
      <c r="LG218" s="14"/>
      <c r="LH218" s="14"/>
      <c r="LI218" s="14"/>
      <c r="LJ218" s="14"/>
      <c r="LK218" s="14"/>
      <c r="LL218" s="14"/>
      <c r="LM218" s="14"/>
      <c r="LN218" s="14"/>
      <c r="LO218" s="14"/>
      <c r="LP218" s="14"/>
      <c r="LQ218" s="14"/>
      <c r="LR218" s="14"/>
      <c r="LS218" s="14"/>
      <c r="LT218" s="14"/>
      <c r="LU218" s="14"/>
      <c r="LV218" s="14"/>
      <c r="LW218" s="14"/>
      <c r="LX218" s="14"/>
      <c r="LY218" s="14"/>
      <c r="LZ218" s="14"/>
      <c r="MA218" s="14"/>
      <c r="MB218" s="14"/>
      <c r="MC218" s="14"/>
      <c r="MD218" s="14"/>
      <c r="ME218" s="14"/>
      <c r="MF218" s="14"/>
      <c r="MG218" s="14"/>
      <c r="MH218" s="14"/>
      <c r="MI218" s="14"/>
      <c r="MJ218" s="14"/>
      <c r="MK218" s="14"/>
      <c r="ML218" s="14"/>
      <c r="MM218" s="14"/>
      <c r="MN218" s="14"/>
      <c r="MO218" s="14"/>
      <c r="MP218" s="14"/>
      <c r="MQ218" s="14"/>
      <c r="MR218" s="14"/>
      <c r="MS218" s="14"/>
      <c r="MT218" s="14"/>
      <c r="MU218" s="14"/>
      <c r="MV218" s="14"/>
      <c r="MW218" s="14"/>
      <c r="MX218" s="14"/>
      <c r="MY218" s="14"/>
      <c r="MZ218" s="14"/>
      <c r="NA218" s="14"/>
      <c r="NB218" s="14"/>
      <c r="NC218" s="14"/>
      <c r="ND218" s="14"/>
      <c r="NE218" s="14"/>
      <c r="NF218" s="14"/>
      <c r="NG218" s="14"/>
      <c r="NH218" s="14"/>
      <c r="NI218" s="14"/>
      <c r="NJ218" s="14"/>
      <c r="NK218" s="14"/>
      <c r="NL218" s="14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</row>
    <row r="219" ht="13.5" customHeight="1">
      <c r="A219" s="2"/>
      <c r="B219" s="22"/>
      <c r="C219" s="2"/>
      <c r="D219" s="13"/>
      <c r="E219" s="3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  <c r="DL219" s="14"/>
      <c r="DM219" s="14"/>
      <c r="DN219" s="14"/>
      <c r="DO219" s="14"/>
      <c r="DP219" s="14"/>
      <c r="DQ219" s="14"/>
      <c r="DR219" s="14"/>
      <c r="DS219" s="14"/>
      <c r="DT219" s="14"/>
      <c r="DU219" s="14"/>
      <c r="DV219" s="14"/>
      <c r="DW219" s="14"/>
      <c r="DX219" s="14"/>
      <c r="DY219" s="14"/>
      <c r="DZ219" s="14"/>
      <c r="EA219" s="14"/>
      <c r="EB219" s="14"/>
      <c r="EC219" s="14"/>
      <c r="ED219" s="14"/>
      <c r="EE219" s="14"/>
      <c r="EF219" s="14"/>
      <c r="EG219" s="14"/>
      <c r="EH219" s="14"/>
      <c r="EI219" s="14"/>
      <c r="EJ219" s="14"/>
      <c r="EK219" s="14"/>
      <c r="EL219" s="14"/>
      <c r="EM219" s="14"/>
      <c r="EN219" s="14"/>
      <c r="EO219" s="14"/>
      <c r="EP219" s="14"/>
      <c r="EQ219" s="14"/>
      <c r="ER219" s="14"/>
      <c r="ES219" s="14"/>
      <c r="ET219" s="14"/>
      <c r="EU219" s="14"/>
      <c r="EV219" s="14"/>
      <c r="EW219" s="14"/>
      <c r="EX219" s="14"/>
      <c r="EY219" s="14"/>
      <c r="EZ219" s="14"/>
      <c r="FA219" s="14"/>
      <c r="FB219" s="14"/>
      <c r="FC219" s="14"/>
      <c r="FD219" s="14"/>
      <c r="FE219" s="14"/>
      <c r="FF219" s="14"/>
      <c r="FG219" s="14"/>
      <c r="FH219" s="14"/>
      <c r="FI219" s="14"/>
      <c r="FJ219" s="14"/>
      <c r="FK219" s="14"/>
      <c r="FL219" s="14"/>
      <c r="FM219" s="14"/>
      <c r="FN219" s="14"/>
      <c r="FO219" s="14"/>
      <c r="FP219" s="14"/>
      <c r="FQ219" s="14"/>
      <c r="FR219" s="14"/>
      <c r="FS219" s="14"/>
      <c r="FT219" s="14"/>
      <c r="FU219" s="14"/>
      <c r="FV219" s="14"/>
      <c r="FW219" s="14"/>
      <c r="FX219" s="14"/>
      <c r="FY219" s="14"/>
      <c r="FZ219" s="14"/>
      <c r="GA219" s="14"/>
      <c r="GB219" s="14"/>
      <c r="GC219" s="14"/>
      <c r="GD219" s="14"/>
      <c r="GE219" s="14"/>
      <c r="GF219" s="14"/>
      <c r="GG219" s="14"/>
      <c r="GH219" s="14"/>
      <c r="GI219" s="14"/>
      <c r="GJ219" s="14"/>
      <c r="GK219" s="14"/>
      <c r="GL219" s="14"/>
      <c r="GM219" s="14"/>
      <c r="GN219" s="14"/>
      <c r="GO219" s="14"/>
      <c r="GP219" s="14"/>
      <c r="GQ219" s="14"/>
      <c r="GR219" s="14"/>
      <c r="GS219" s="14"/>
      <c r="GT219" s="14"/>
      <c r="GU219" s="14"/>
      <c r="GV219" s="14"/>
      <c r="GW219" s="14"/>
      <c r="GX219" s="14"/>
      <c r="GY219" s="14"/>
      <c r="GZ219" s="14"/>
      <c r="HA219" s="14"/>
      <c r="HB219" s="14"/>
      <c r="HC219" s="14"/>
      <c r="HD219" s="14"/>
      <c r="HE219" s="14"/>
      <c r="HF219" s="14"/>
      <c r="HG219" s="14"/>
      <c r="HH219" s="14"/>
      <c r="HI219" s="14"/>
      <c r="HJ219" s="14"/>
      <c r="HK219" s="14"/>
      <c r="HL219" s="14"/>
      <c r="HM219" s="14"/>
      <c r="HN219" s="14"/>
      <c r="HO219" s="14"/>
      <c r="HP219" s="14"/>
      <c r="HQ219" s="14"/>
      <c r="HR219" s="14"/>
      <c r="HS219" s="14"/>
      <c r="HT219" s="14"/>
      <c r="HU219" s="14"/>
      <c r="HV219" s="14"/>
      <c r="HW219" s="14"/>
      <c r="HX219" s="14"/>
      <c r="HY219" s="14"/>
      <c r="HZ219" s="14"/>
      <c r="IA219" s="14"/>
      <c r="IB219" s="14"/>
      <c r="IC219" s="14"/>
      <c r="ID219" s="14"/>
      <c r="IE219" s="14"/>
      <c r="IF219" s="14"/>
      <c r="IG219" s="14"/>
      <c r="IH219" s="14"/>
      <c r="II219" s="14"/>
      <c r="IJ219" s="14"/>
      <c r="IK219" s="14"/>
      <c r="IL219" s="14"/>
      <c r="IM219" s="14"/>
      <c r="IN219" s="14"/>
      <c r="IO219" s="14"/>
      <c r="IP219" s="14"/>
      <c r="IQ219" s="14"/>
      <c r="IR219" s="14"/>
      <c r="IS219" s="14"/>
      <c r="IT219" s="14"/>
      <c r="IU219" s="14"/>
      <c r="IV219" s="14"/>
      <c r="IW219" s="14"/>
      <c r="IX219" s="14"/>
      <c r="IY219" s="14"/>
      <c r="IZ219" s="14"/>
      <c r="JA219" s="14"/>
      <c r="JB219" s="14"/>
      <c r="JC219" s="14"/>
      <c r="JD219" s="14"/>
      <c r="JE219" s="14"/>
      <c r="JF219" s="14"/>
      <c r="JG219" s="14"/>
      <c r="JH219" s="14"/>
      <c r="JI219" s="14"/>
      <c r="JJ219" s="14"/>
      <c r="JK219" s="14"/>
      <c r="JL219" s="14"/>
      <c r="JM219" s="14"/>
      <c r="JN219" s="14"/>
      <c r="JO219" s="14"/>
      <c r="JP219" s="14"/>
      <c r="JQ219" s="14"/>
      <c r="JR219" s="14"/>
      <c r="JS219" s="14"/>
      <c r="JT219" s="14"/>
      <c r="JU219" s="14"/>
      <c r="JV219" s="14"/>
      <c r="JW219" s="14"/>
      <c r="JX219" s="14"/>
      <c r="JY219" s="14"/>
      <c r="JZ219" s="14"/>
      <c r="KA219" s="14"/>
      <c r="KB219" s="14"/>
      <c r="KC219" s="14"/>
      <c r="KD219" s="14"/>
      <c r="KE219" s="14"/>
      <c r="KF219" s="14"/>
      <c r="KG219" s="14"/>
      <c r="KH219" s="14"/>
      <c r="KI219" s="14"/>
      <c r="KJ219" s="14"/>
      <c r="KK219" s="14"/>
      <c r="KL219" s="14"/>
      <c r="KM219" s="14"/>
      <c r="KN219" s="14"/>
      <c r="KO219" s="14"/>
      <c r="KP219" s="14"/>
      <c r="KQ219" s="14"/>
      <c r="KR219" s="14"/>
      <c r="KS219" s="14"/>
      <c r="KT219" s="14"/>
      <c r="KU219" s="14"/>
      <c r="KV219" s="14"/>
      <c r="KW219" s="14"/>
      <c r="KX219" s="14"/>
      <c r="KY219" s="14"/>
      <c r="KZ219" s="14"/>
      <c r="LA219" s="14"/>
      <c r="LB219" s="14"/>
      <c r="LC219" s="14"/>
      <c r="LD219" s="14"/>
      <c r="LE219" s="14"/>
      <c r="LF219" s="14"/>
      <c r="LG219" s="14"/>
      <c r="LH219" s="14"/>
      <c r="LI219" s="14"/>
      <c r="LJ219" s="14"/>
      <c r="LK219" s="14"/>
      <c r="LL219" s="14"/>
      <c r="LM219" s="14"/>
      <c r="LN219" s="14"/>
      <c r="LO219" s="14"/>
      <c r="LP219" s="14"/>
      <c r="LQ219" s="14"/>
      <c r="LR219" s="14"/>
      <c r="LS219" s="14"/>
      <c r="LT219" s="14"/>
      <c r="LU219" s="14"/>
      <c r="LV219" s="14"/>
      <c r="LW219" s="14"/>
      <c r="LX219" s="14"/>
      <c r="LY219" s="14"/>
      <c r="LZ219" s="14"/>
      <c r="MA219" s="14"/>
      <c r="MB219" s="14"/>
      <c r="MC219" s="14"/>
      <c r="MD219" s="14"/>
      <c r="ME219" s="14"/>
      <c r="MF219" s="14"/>
      <c r="MG219" s="14"/>
      <c r="MH219" s="14"/>
      <c r="MI219" s="14"/>
      <c r="MJ219" s="14"/>
      <c r="MK219" s="14"/>
      <c r="ML219" s="14"/>
      <c r="MM219" s="14"/>
      <c r="MN219" s="14"/>
      <c r="MO219" s="14"/>
      <c r="MP219" s="14"/>
      <c r="MQ219" s="14"/>
      <c r="MR219" s="14"/>
      <c r="MS219" s="14"/>
      <c r="MT219" s="14"/>
      <c r="MU219" s="14"/>
      <c r="MV219" s="14"/>
      <c r="MW219" s="14"/>
      <c r="MX219" s="14"/>
      <c r="MY219" s="14"/>
      <c r="MZ219" s="14"/>
      <c r="NA219" s="14"/>
      <c r="NB219" s="14"/>
      <c r="NC219" s="14"/>
      <c r="ND219" s="14"/>
      <c r="NE219" s="14"/>
      <c r="NF219" s="14"/>
      <c r="NG219" s="14"/>
      <c r="NH219" s="14"/>
      <c r="NI219" s="14"/>
      <c r="NJ219" s="14"/>
      <c r="NK219" s="14"/>
      <c r="NL219" s="14"/>
      <c r="NM219" s="3"/>
      <c r="NN219" s="3"/>
      <c r="NO219" s="3"/>
      <c r="NP219" s="3"/>
      <c r="NQ219" s="3"/>
      <c r="NR219" s="3"/>
      <c r="NS219" s="3"/>
      <c r="NT219" s="3"/>
      <c r="NU219" s="3"/>
      <c r="NV219" s="3"/>
      <c r="NW219" s="3"/>
      <c r="NX219" s="3"/>
      <c r="NY219" s="3"/>
      <c r="NZ219" s="3"/>
      <c r="OA219" s="3"/>
      <c r="OB219" s="3"/>
      <c r="OC219" s="3"/>
      <c r="OD219" s="3"/>
      <c r="OE219" s="3"/>
      <c r="OF219" s="3"/>
    </row>
    <row r="220" ht="13.5" customHeight="1">
      <c r="A220" s="2"/>
      <c r="B220" s="22"/>
      <c r="C220" s="2"/>
      <c r="D220" s="13"/>
      <c r="E220" s="3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4"/>
      <c r="DF220" s="14"/>
      <c r="DG220" s="14"/>
      <c r="DH220" s="14"/>
      <c r="DI220" s="14"/>
      <c r="DJ220" s="14"/>
      <c r="DK220" s="14"/>
      <c r="DL220" s="14"/>
      <c r="DM220" s="14"/>
      <c r="DN220" s="14"/>
      <c r="DO220" s="14"/>
      <c r="DP220" s="14"/>
      <c r="DQ220" s="14"/>
      <c r="DR220" s="14"/>
      <c r="DS220" s="14"/>
      <c r="DT220" s="14"/>
      <c r="DU220" s="14"/>
      <c r="DV220" s="14"/>
      <c r="DW220" s="14"/>
      <c r="DX220" s="14"/>
      <c r="DY220" s="14"/>
      <c r="DZ220" s="14"/>
      <c r="EA220" s="14"/>
      <c r="EB220" s="14"/>
      <c r="EC220" s="14"/>
      <c r="ED220" s="14"/>
      <c r="EE220" s="14"/>
      <c r="EF220" s="14"/>
      <c r="EG220" s="14"/>
      <c r="EH220" s="14"/>
      <c r="EI220" s="14"/>
      <c r="EJ220" s="14"/>
      <c r="EK220" s="14"/>
      <c r="EL220" s="14"/>
      <c r="EM220" s="14"/>
      <c r="EN220" s="14"/>
      <c r="EO220" s="14"/>
      <c r="EP220" s="14"/>
      <c r="EQ220" s="14"/>
      <c r="ER220" s="14"/>
      <c r="ES220" s="14"/>
      <c r="ET220" s="14"/>
      <c r="EU220" s="14"/>
      <c r="EV220" s="14"/>
      <c r="EW220" s="14"/>
      <c r="EX220" s="14"/>
      <c r="EY220" s="14"/>
      <c r="EZ220" s="14"/>
      <c r="FA220" s="14"/>
      <c r="FB220" s="14"/>
      <c r="FC220" s="14"/>
      <c r="FD220" s="14"/>
      <c r="FE220" s="14"/>
      <c r="FF220" s="14"/>
      <c r="FG220" s="14"/>
      <c r="FH220" s="14"/>
      <c r="FI220" s="14"/>
      <c r="FJ220" s="14"/>
      <c r="FK220" s="14"/>
      <c r="FL220" s="14"/>
      <c r="FM220" s="14"/>
      <c r="FN220" s="14"/>
      <c r="FO220" s="14"/>
      <c r="FP220" s="14"/>
      <c r="FQ220" s="14"/>
      <c r="FR220" s="14"/>
      <c r="FS220" s="14"/>
      <c r="FT220" s="14"/>
      <c r="FU220" s="14"/>
      <c r="FV220" s="14"/>
      <c r="FW220" s="14"/>
      <c r="FX220" s="14"/>
      <c r="FY220" s="14"/>
      <c r="FZ220" s="14"/>
      <c r="GA220" s="14"/>
      <c r="GB220" s="14"/>
      <c r="GC220" s="14"/>
      <c r="GD220" s="14"/>
      <c r="GE220" s="14"/>
      <c r="GF220" s="14"/>
      <c r="GG220" s="14"/>
      <c r="GH220" s="14"/>
      <c r="GI220" s="14"/>
      <c r="GJ220" s="14"/>
      <c r="GK220" s="14"/>
      <c r="GL220" s="14"/>
      <c r="GM220" s="14"/>
      <c r="GN220" s="14"/>
      <c r="GO220" s="14"/>
      <c r="GP220" s="14"/>
      <c r="GQ220" s="14"/>
      <c r="GR220" s="14"/>
      <c r="GS220" s="14"/>
      <c r="GT220" s="14"/>
      <c r="GU220" s="14"/>
      <c r="GV220" s="14"/>
      <c r="GW220" s="14"/>
      <c r="GX220" s="14"/>
      <c r="GY220" s="14"/>
      <c r="GZ220" s="14"/>
      <c r="HA220" s="14"/>
      <c r="HB220" s="14"/>
      <c r="HC220" s="14"/>
      <c r="HD220" s="14"/>
      <c r="HE220" s="14"/>
      <c r="HF220" s="14"/>
      <c r="HG220" s="14"/>
      <c r="HH220" s="14"/>
      <c r="HI220" s="14"/>
      <c r="HJ220" s="14"/>
      <c r="HK220" s="14"/>
      <c r="HL220" s="14"/>
      <c r="HM220" s="14"/>
      <c r="HN220" s="14"/>
      <c r="HO220" s="14"/>
      <c r="HP220" s="14"/>
      <c r="HQ220" s="14"/>
      <c r="HR220" s="14"/>
      <c r="HS220" s="14"/>
      <c r="HT220" s="14"/>
      <c r="HU220" s="14"/>
      <c r="HV220" s="14"/>
      <c r="HW220" s="14"/>
      <c r="HX220" s="14"/>
      <c r="HY220" s="14"/>
      <c r="HZ220" s="14"/>
      <c r="IA220" s="14"/>
      <c r="IB220" s="14"/>
      <c r="IC220" s="14"/>
      <c r="ID220" s="14"/>
      <c r="IE220" s="14"/>
      <c r="IF220" s="14"/>
      <c r="IG220" s="14"/>
      <c r="IH220" s="14"/>
      <c r="II220" s="14"/>
      <c r="IJ220" s="14"/>
      <c r="IK220" s="14"/>
      <c r="IL220" s="14"/>
      <c r="IM220" s="14"/>
      <c r="IN220" s="14"/>
      <c r="IO220" s="14"/>
      <c r="IP220" s="14"/>
      <c r="IQ220" s="14"/>
      <c r="IR220" s="14"/>
      <c r="IS220" s="14"/>
      <c r="IT220" s="14"/>
      <c r="IU220" s="14"/>
      <c r="IV220" s="14"/>
      <c r="IW220" s="14"/>
      <c r="IX220" s="14"/>
      <c r="IY220" s="14"/>
      <c r="IZ220" s="14"/>
      <c r="JA220" s="14"/>
      <c r="JB220" s="14"/>
      <c r="JC220" s="14"/>
      <c r="JD220" s="14"/>
      <c r="JE220" s="14"/>
      <c r="JF220" s="14"/>
      <c r="JG220" s="14"/>
      <c r="JH220" s="14"/>
      <c r="JI220" s="14"/>
      <c r="JJ220" s="14"/>
      <c r="JK220" s="14"/>
      <c r="JL220" s="14"/>
      <c r="JM220" s="14"/>
      <c r="JN220" s="14"/>
      <c r="JO220" s="14"/>
      <c r="JP220" s="14"/>
      <c r="JQ220" s="14"/>
      <c r="JR220" s="14"/>
      <c r="JS220" s="14"/>
      <c r="JT220" s="14"/>
      <c r="JU220" s="14"/>
      <c r="JV220" s="14"/>
      <c r="JW220" s="14"/>
      <c r="JX220" s="14"/>
      <c r="JY220" s="14"/>
      <c r="JZ220" s="14"/>
      <c r="KA220" s="14"/>
      <c r="KB220" s="14"/>
      <c r="KC220" s="14"/>
      <c r="KD220" s="14"/>
      <c r="KE220" s="14"/>
      <c r="KF220" s="14"/>
      <c r="KG220" s="14"/>
      <c r="KH220" s="14"/>
      <c r="KI220" s="14"/>
      <c r="KJ220" s="14"/>
      <c r="KK220" s="14"/>
      <c r="KL220" s="14"/>
      <c r="KM220" s="14"/>
      <c r="KN220" s="14"/>
      <c r="KO220" s="14"/>
      <c r="KP220" s="14"/>
      <c r="KQ220" s="14"/>
      <c r="KR220" s="14"/>
      <c r="KS220" s="14"/>
      <c r="KT220" s="14"/>
      <c r="KU220" s="14"/>
      <c r="KV220" s="14"/>
      <c r="KW220" s="14"/>
      <c r="KX220" s="14"/>
      <c r="KY220" s="14"/>
      <c r="KZ220" s="14"/>
      <c r="LA220" s="14"/>
      <c r="LB220" s="14"/>
      <c r="LC220" s="14"/>
      <c r="LD220" s="14"/>
      <c r="LE220" s="14"/>
      <c r="LF220" s="14"/>
      <c r="LG220" s="14"/>
      <c r="LH220" s="14"/>
      <c r="LI220" s="14"/>
      <c r="LJ220" s="14"/>
      <c r="LK220" s="14"/>
      <c r="LL220" s="14"/>
      <c r="LM220" s="14"/>
      <c r="LN220" s="14"/>
      <c r="LO220" s="14"/>
      <c r="LP220" s="14"/>
      <c r="LQ220" s="14"/>
      <c r="LR220" s="14"/>
      <c r="LS220" s="14"/>
      <c r="LT220" s="14"/>
      <c r="LU220" s="14"/>
      <c r="LV220" s="14"/>
      <c r="LW220" s="14"/>
      <c r="LX220" s="14"/>
      <c r="LY220" s="14"/>
      <c r="LZ220" s="14"/>
      <c r="MA220" s="14"/>
      <c r="MB220" s="14"/>
      <c r="MC220" s="14"/>
      <c r="MD220" s="14"/>
      <c r="ME220" s="14"/>
      <c r="MF220" s="14"/>
      <c r="MG220" s="14"/>
      <c r="MH220" s="14"/>
      <c r="MI220" s="14"/>
      <c r="MJ220" s="14"/>
      <c r="MK220" s="14"/>
      <c r="ML220" s="14"/>
      <c r="MM220" s="14"/>
      <c r="MN220" s="14"/>
      <c r="MO220" s="14"/>
      <c r="MP220" s="14"/>
      <c r="MQ220" s="14"/>
      <c r="MR220" s="14"/>
      <c r="MS220" s="14"/>
      <c r="MT220" s="14"/>
      <c r="MU220" s="14"/>
      <c r="MV220" s="14"/>
      <c r="MW220" s="14"/>
      <c r="MX220" s="14"/>
      <c r="MY220" s="14"/>
      <c r="MZ220" s="14"/>
      <c r="NA220" s="14"/>
      <c r="NB220" s="14"/>
      <c r="NC220" s="14"/>
      <c r="ND220" s="14"/>
      <c r="NE220" s="14"/>
      <c r="NF220" s="14"/>
      <c r="NG220" s="14"/>
      <c r="NH220" s="14"/>
      <c r="NI220" s="14"/>
      <c r="NJ220" s="14"/>
      <c r="NK220" s="14"/>
      <c r="NL220" s="14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</row>
  </sheetData>
  <mergeCells count="4">
    <mergeCell ref="A1:D1"/>
    <mergeCell ref="A2:C2"/>
    <mergeCell ref="A4:A5"/>
    <mergeCell ref="B4:B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5.86"/>
    <col customWidth="1" min="3" max="3" width="9.86"/>
    <col customWidth="1" min="4" max="4" width="44.43"/>
    <col customWidth="1" min="5" max="5" width="19.43"/>
    <col customWidth="1" min="6" max="30" width="8.86"/>
  </cols>
  <sheetData>
    <row r="1" ht="13.5" customHeight="1">
      <c r="A1" s="1" t="s">
        <v>155</v>
      </c>
      <c r="E1" s="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ht="13.5" customHeight="1">
      <c r="A2" s="4" t="s">
        <v>1</v>
      </c>
      <c r="D2" s="20"/>
      <c r="E2" s="3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ht="13.5" customHeight="1">
      <c r="A3" s="6" t="s">
        <v>2</v>
      </c>
      <c r="B3" s="6" t="s">
        <v>3</v>
      </c>
      <c r="C3" s="6" t="s">
        <v>4</v>
      </c>
      <c r="D3" s="23" t="s">
        <v>5</v>
      </c>
      <c r="E3" s="6" t="s">
        <v>577</v>
      </c>
      <c r="F3" s="17" t="s">
        <v>578</v>
      </c>
      <c r="G3" s="17" t="s">
        <v>579</v>
      </c>
      <c r="H3" s="17" t="s">
        <v>580</v>
      </c>
      <c r="I3" s="17" t="s">
        <v>581</v>
      </c>
      <c r="J3" s="17" t="s">
        <v>582</v>
      </c>
      <c r="K3" s="17" t="s">
        <v>583</v>
      </c>
      <c r="L3" s="17" t="s">
        <v>584</v>
      </c>
      <c r="M3" s="17" t="s">
        <v>585</v>
      </c>
      <c r="N3" s="17" t="s">
        <v>586</v>
      </c>
      <c r="O3" s="17" t="s">
        <v>587</v>
      </c>
      <c r="P3" s="17" t="s">
        <v>588</v>
      </c>
      <c r="Q3" s="17" t="s">
        <v>589</v>
      </c>
      <c r="R3" s="17" t="s">
        <v>590</v>
      </c>
      <c r="S3" s="17" t="s">
        <v>591</v>
      </c>
      <c r="T3" s="17" t="s">
        <v>592</v>
      </c>
      <c r="U3" s="17" t="s">
        <v>593</v>
      </c>
      <c r="V3" s="17" t="s">
        <v>594</v>
      </c>
      <c r="W3" s="17" t="s">
        <v>595</v>
      </c>
      <c r="X3" s="17" t="s">
        <v>596</v>
      </c>
      <c r="Y3" s="17" t="s">
        <v>597</v>
      </c>
      <c r="Z3" s="17" t="s">
        <v>598</v>
      </c>
      <c r="AA3" s="17" t="s">
        <v>599</v>
      </c>
      <c r="AB3" s="17" t="s">
        <v>600</v>
      </c>
      <c r="AC3" s="17" t="s">
        <v>601</v>
      </c>
      <c r="AD3" s="17" t="s">
        <v>602</v>
      </c>
    </row>
    <row r="4" ht="13.5" customHeight="1">
      <c r="A4" s="7" t="s">
        <v>528</v>
      </c>
      <c r="B4" s="13" t="s">
        <v>529</v>
      </c>
      <c r="C4" s="7" t="s">
        <v>530</v>
      </c>
      <c r="D4" s="13" t="s">
        <v>603</v>
      </c>
      <c r="E4" s="2" t="str">
        <f t="shared" ref="E4:E6" si="1">AVERAGE(F4:AD4)</f>
        <v>#DIV/0!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ht="13.5" customHeight="1">
      <c r="C5" s="7" t="s">
        <v>532</v>
      </c>
      <c r="D5" s="13" t="s">
        <v>533</v>
      </c>
      <c r="E5" s="2" t="str">
        <f t="shared" si="1"/>
        <v>#DIV/0!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 ht="13.5" customHeight="1">
      <c r="C6" s="7" t="s">
        <v>604</v>
      </c>
      <c r="D6" s="13" t="s">
        <v>605</v>
      </c>
      <c r="E6" s="2" t="str">
        <f t="shared" si="1"/>
        <v>#DIV/0!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ht="13.5" customHeight="1">
      <c r="A7" s="7" t="s">
        <v>606</v>
      </c>
      <c r="B7" s="13" t="s">
        <v>607</v>
      </c>
      <c r="C7" s="7" t="s">
        <v>608</v>
      </c>
      <c r="D7" s="11" t="s">
        <v>609</v>
      </c>
      <c r="E7" s="2">
        <f t="array" ref="E7">AVERAGE(IF(F7:AD7 &lt;= 10, 0, IF(F7:AD7 &gt;= 80, 1, (F7:AD7 - 10) / 70)))</f>
        <v>0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ht="13.5" customHeight="1">
      <c r="A8" s="7" t="s">
        <v>610</v>
      </c>
      <c r="B8" s="13" t="s">
        <v>611</v>
      </c>
      <c r="C8" s="7" t="s">
        <v>612</v>
      </c>
      <c r="D8" s="11" t="s">
        <v>613</v>
      </c>
      <c r="E8" s="2">
        <f t="array" ref="E8">AVERAGE(IF(F8:AD8 &lt;= 10, 0, IF(F8:AD8 &gt;= 80, 1, (F8:AD8 - 10) / 70)))</f>
        <v>0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ht="13.5" customHeight="1">
      <c r="A9" s="7" t="s">
        <v>614</v>
      </c>
      <c r="B9" s="13" t="s">
        <v>615</v>
      </c>
      <c r="C9" s="7" t="s">
        <v>616</v>
      </c>
      <c r="D9" s="11" t="s">
        <v>617</v>
      </c>
      <c r="E9" s="2" t="str">
        <f>AVERAGE(F9:AD9)</f>
        <v>#DIV/0!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ht="13.5" customHeight="1">
      <c r="A10" s="7" t="s">
        <v>534</v>
      </c>
      <c r="B10" s="13" t="s">
        <v>535</v>
      </c>
      <c r="C10" s="7" t="s">
        <v>536</v>
      </c>
      <c r="D10" s="13" t="s">
        <v>618</v>
      </c>
      <c r="E10" s="2">
        <f t="array" ref="E10">AVERAGE(IF(F10:AD10 &lt;= 3, 0, IF(F10:AD10 &gt;= 5, 1, (F10:AD10 - 3) / 2)))</f>
        <v>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ht="13.5" customHeight="1">
      <c r="A11" s="7" t="s">
        <v>538</v>
      </c>
      <c r="B11" s="13" t="s">
        <v>539</v>
      </c>
      <c r="C11" s="7" t="s">
        <v>540</v>
      </c>
      <c r="D11" s="13" t="s">
        <v>541</v>
      </c>
      <c r="E11" s="2" t="str">
        <f>AVERAGE(F11:AD11)</f>
        <v>#DIV/0!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ht="13.5" customHeight="1">
      <c r="A12" s="7" t="s">
        <v>542</v>
      </c>
      <c r="B12" s="13" t="s">
        <v>543</v>
      </c>
      <c r="C12" s="7" t="s">
        <v>544</v>
      </c>
      <c r="D12" s="13" t="s">
        <v>545</v>
      </c>
      <c r="E12" s="2">
        <f t="array" ref="E12">AVERAGE(IF(F12:AD12 &lt;= 2, 0, IF(F12:AD12 &gt;= 4, 1, (F12:AD12 - 2) / 2)))</f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ht="13.5" customHeight="1">
      <c r="A13" s="7" t="s">
        <v>546</v>
      </c>
      <c r="B13" s="13" t="s">
        <v>547</v>
      </c>
      <c r="C13" s="7" t="s">
        <v>548</v>
      </c>
      <c r="D13" s="13" t="s">
        <v>547</v>
      </c>
      <c r="E13" s="2">
        <f t="array" ref="E13">AVERAGE(IF(F13:AD13 &lt;= 2, 0, IF(F13:AD13 &gt;= 4, 1, (F13:AD13 - 2) / 2)))</f>
        <v>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ht="13.5" customHeight="1">
      <c r="A14" s="7" t="s">
        <v>549</v>
      </c>
      <c r="B14" s="13" t="s">
        <v>550</v>
      </c>
      <c r="C14" s="7" t="s">
        <v>551</v>
      </c>
      <c r="D14" s="13" t="s">
        <v>552</v>
      </c>
      <c r="E14" s="2">
        <f t="array" ref="E14">AVERAGE(IF(F14:AD14 &lt;= 3, 0, IF(F14:AD14 &gt;= 5, 1, (F14:AD14 - 3) / 2)))</f>
        <v>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ht="13.5" customHeight="1">
      <c r="A15" s="7" t="s">
        <v>553</v>
      </c>
      <c r="B15" s="22" t="s">
        <v>554</v>
      </c>
      <c r="C15" s="7" t="s">
        <v>555</v>
      </c>
      <c r="D15" s="13" t="s">
        <v>556</v>
      </c>
      <c r="E15" s="2" t="str">
        <f>AVERAGE(F15:AD15)</f>
        <v>#DIV/0!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ht="13.5" customHeight="1">
      <c r="A16" s="7" t="s">
        <v>619</v>
      </c>
      <c r="B16" s="13" t="s">
        <v>620</v>
      </c>
      <c r="C16" s="7" t="s">
        <v>621</v>
      </c>
      <c r="D16" s="13" t="s">
        <v>622</v>
      </c>
      <c r="E16" s="2">
        <f t="array" ref="E16">AVERAGE(IF(F16:AD16 &lt;= 3, 0, IF(F16:AD16 &gt;= 5, 1, (F16:AD16 - 3) / 2)))</f>
        <v>0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ht="13.5" customHeight="1">
      <c r="C17" s="7" t="s">
        <v>623</v>
      </c>
      <c r="D17" s="13" t="s">
        <v>624</v>
      </c>
      <c r="E17" s="2">
        <f t="array" ref="E17">AVERAGE(IF(F17:AD17 &lt;= 3, 0, IF(F17:AD17 &gt;= 5, 1, (F17:AD17 - 3) / 2)))</f>
        <v>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ht="13.5" customHeight="1">
      <c r="C18" s="7" t="s">
        <v>625</v>
      </c>
      <c r="D18" s="13" t="s">
        <v>626</v>
      </c>
      <c r="E18" s="2">
        <f t="array" ref="E18">AVERAGE(IF(F18:AD18 &lt;= 3, 0, IF(F18:AD18 &gt;= 5, 1, (F18:AD18 - 3) / 2)))</f>
        <v>0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ht="13.5" customHeight="1">
      <c r="C19" s="7" t="s">
        <v>627</v>
      </c>
      <c r="D19" s="13" t="s">
        <v>628</v>
      </c>
      <c r="E19" s="2">
        <f t="array" ref="E19">AVERAGE(IF(F19:AD19 &lt;= 3, 0, IF(F19:AD19 &gt;= 5, 1, (F19:AD19 - 3) / 2)))</f>
        <v>0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ht="13.5" customHeight="1">
      <c r="A20" s="7" t="s">
        <v>629</v>
      </c>
      <c r="B20" s="13" t="s">
        <v>630</v>
      </c>
      <c r="C20" s="7" t="s">
        <v>631</v>
      </c>
      <c r="D20" s="13" t="s">
        <v>632</v>
      </c>
      <c r="E20" s="2" t="str">
        <f t="shared" ref="E20:E21" si="2">AVERAGE(F20:AD20)</f>
        <v>#DIV/0!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ht="13.5" customHeight="1">
      <c r="C21" s="7" t="s">
        <v>633</v>
      </c>
      <c r="D21" s="13" t="s">
        <v>634</v>
      </c>
      <c r="E21" s="2" t="str">
        <f t="shared" si="2"/>
        <v>#DIV/0!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ht="13.5" customHeight="1">
      <c r="A22" s="7" t="s">
        <v>557</v>
      </c>
      <c r="B22" s="13" t="s">
        <v>558</v>
      </c>
      <c r="C22" s="7" t="s">
        <v>559</v>
      </c>
      <c r="D22" s="13" t="s">
        <v>560</v>
      </c>
      <c r="E22" s="2">
        <f t="array" ref="E22">AVERAGE(IF(F22:AD22 &lt;= 3, 0, IF(F22:AD22 &gt;= 4, 1, (F22:AD22 - 3) / 1)))</f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ht="13.5" customHeight="1">
      <c r="A23" s="7" t="s">
        <v>561</v>
      </c>
      <c r="B23" s="13" t="s">
        <v>562</v>
      </c>
      <c r="C23" s="7" t="s">
        <v>563</v>
      </c>
      <c r="D23" s="13" t="s">
        <v>564</v>
      </c>
      <c r="E23" s="2">
        <f t="array" ref="E23">AVERAGE(IF(F23:AD23 &lt;= 3, 0, IF(F23:AD23 &gt;= 4, 1, (F23:AD23 - 3) / 1)))</f>
        <v>0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ht="13.5" customHeight="1">
      <c r="A24" s="7" t="s">
        <v>565</v>
      </c>
      <c r="B24" s="13" t="s">
        <v>566</v>
      </c>
      <c r="C24" s="7" t="s">
        <v>567</v>
      </c>
      <c r="D24" s="13" t="s">
        <v>568</v>
      </c>
      <c r="E24" s="2" t="str">
        <f>AVERAGE(F24:AD24)</f>
        <v>#DIV/0!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ht="13.5" customHeight="1">
      <c r="A25" s="7" t="s">
        <v>569</v>
      </c>
      <c r="B25" s="13" t="s">
        <v>570</v>
      </c>
      <c r="C25" s="7" t="s">
        <v>571</v>
      </c>
      <c r="D25" s="13" t="s">
        <v>572</v>
      </c>
      <c r="E25" s="2">
        <f t="array" ref="E25">AVERAGE(IF(F25:AD25 &lt;= 3, 0, IF(F25:AD25 &gt;= 5, 1, (F25:AD25 - 3) / 2)))</f>
        <v>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ht="13.5" customHeight="1">
      <c r="A26" s="7" t="s">
        <v>573</v>
      </c>
      <c r="B26" s="13" t="s">
        <v>574</v>
      </c>
      <c r="C26" s="7" t="s">
        <v>575</v>
      </c>
      <c r="D26" s="13" t="s">
        <v>576</v>
      </c>
      <c r="E26" s="2">
        <f t="array" ref="E26">AVERAGE(IF(F26:AD26 &lt;= 3, 0, IF(F26:AD26 &gt;= 5, 1, (F26:AD26 - 3) / 2)))</f>
        <v>0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ht="13.5" customHeight="1">
      <c r="A27" s="7" t="s">
        <v>635</v>
      </c>
      <c r="B27" s="13" t="s">
        <v>636</v>
      </c>
      <c r="C27" s="7" t="s">
        <v>637</v>
      </c>
      <c r="D27" s="13" t="s">
        <v>638</v>
      </c>
      <c r="E27" s="2" t="str">
        <f>AVERAGE(F27:AD27)</f>
        <v>#DIV/0!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ht="13.5" customHeight="1">
      <c r="A28" s="7" t="s">
        <v>639</v>
      </c>
      <c r="B28" s="13" t="s">
        <v>640</v>
      </c>
      <c r="C28" s="7" t="s">
        <v>641</v>
      </c>
      <c r="D28" s="13" t="s">
        <v>642</v>
      </c>
      <c r="E28" s="2">
        <f t="array" ref="E28">AVERAGE(IF(F28:AD28 &lt;= 3, 0, IF(F28:AD28 &gt;= 5, 1, (F28:AD28 - 3) / 2)))</f>
        <v>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ht="13.5" customHeight="1">
      <c r="A29" s="7" t="s">
        <v>643</v>
      </c>
      <c r="B29" s="13" t="s">
        <v>644</v>
      </c>
      <c r="C29" s="7" t="s">
        <v>645</v>
      </c>
      <c r="D29" s="13" t="s">
        <v>646</v>
      </c>
      <c r="E29" s="2">
        <f t="array" ref="E29">AVERAGE(IF(F29:AD29 &lt;= 3, 0, IF(F29:AD29 &gt;= 5, 1, (F29:AD29 - 3) / 2)))</f>
        <v>0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ht="13.5" customHeight="1">
      <c r="A30" s="7" t="s">
        <v>647</v>
      </c>
      <c r="B30" s="13" t="s">
        <v>648</v>
      </c>
      <c r="C30" s="7" t="s">
        <v>649</v>
      </c>
      <c r="D30" s="13" t="s">
        <v>650</v>
      </c>
      <c r="E30" s="2">
        <f t="array" ref="E30">AVERAGE(IF(F30:AD30 &lt;= 3, 0, IF(F30:AD30 &gt;= 5, 1, (F30:AD30 - 3) / 2)))</f>
        <v>0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 ht="13.5" customHeight="1">
      <c r="A31" s="7" t="s">
        <v>651</v>
      </c>
      <c r="B31" s="13" t="s">
        <v>652</v>
      </c>
      <c r="C31" s="7" t="s">
        <v>653</v>
      </c>
      <c r="D31" s="13" t="s">
        <v>654</v>
      </c>
      <c r="E31" s="2" t="str">
        <f t="shared" ref="E31:E32" si="3">AVERAGE(F31:AD31)</f>
        <v>#DIV/0!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 ht="13.5" customHeight="1">
      <c r="C32" s="7" t="s">
        <v>655</v>
      </c>
      <c r="D32" s="13" t="s">
        <v>656</v>
      </c>
      <c r="E32" s="2" t="str">
        <f t="shared" si="3"/>
        <v>#DIV/0!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ht="13.5" customHeight="1">
      <c r="A33" s="2"/>
      <c r="B33" s="22"/>
      <c r="C33" s="2"/>
      <c r="D33" s="13"/>
      <c r="E33" s="3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ht="13.5" customHeight="1">
      <c r="A34" s="2"/>
      <c r="B34" s="22"/>
      <c r="C34" s="2"/>
      <c r="D34" s="13"/>
      <c r="E34" s="3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ht="13.5" customHeight="1">
      <c r="A35" s="2"/>
      <c r="B35" s="13"/>
      <c r="C35" s="2"/>
      <c r="D35" s="13"/>
      <c r="E35" s="3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 ht="13.5" customHeight="1">
      <c r="A36" s="2"/>
      <c r="B36" s="22"/>
      <c r="C36" s="2"/>
      <c r="D36" s="13"/>
      <c r="E36" s="3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 ht="13.5" customHeight="1">
      <c r="A37" s="2"/>
      <c r="B37" s="22"/>
      <c r="C37" s="2"/>
      <c r="D37" s="13"/>
      <c r="E37" s="3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 ht="13.5" customHeight="1">
      <c r="A38" s="2"/>
      <c r="B38" s="13"/>
      <c r="C38" s="2"/>
      <c r="D38" s="13"/>
      <c r="E38" s="3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 ht="13.5" customHeight="1">
      <c r="A39" s="2"/>
      <c r="B39" s="22"/>
      <c r="C39" s="2"/>
      <c r="D39" s="13"/>
      <c r="E39" s="3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 ht="13.5" customHeight="1">
      <c r="A40" s="2"/>
      <c r="B40" s="13"/>
      <c r="C40" s="2"/>
      <c r="D40" s="13"/>
      <c r="E40" s="3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 ht="13.5" customHeight="1">
      <c r="A41" s="2"/>
      <c r="B41" s="22"/>
      <c r="C41" s="2"/>
      <c r="D41" s="13"/>
      <c r="E41" s="3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 ht="13.5" customHeight="1">
      <c r="A42" s="2"/>
      <c r="B42" s="22"/>
      <c r="C42" s="2"/>
      <c r="D42" s="13"/>
      <c r="E42" s="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 ht="13.5" customHeight="1">
      <c r="A43" s="2"/>
      <c r="B43" s="22"/>
      <c r="C43" s="2"/>
      <c r="D43" s="13"/>
      <c r="E43" s="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ht="13.5" customHeight="1">
      <c r="A44" s="2"/>
      <c r="B44" s="22"/>
      <c r="C44" s="2"/>
      <c r="D44" s="13"/>
      <c r="E44" s="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 ht="13.5" customHeight="1">
      <c r="A45" s="2"/>
      <c r="B45" s="22"/>
      <c r="C45" s="2"/>
      <c r="D45" s="13"/>
      <c r="E45" s="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 ht="13.5" customHeight="1">
      <c r="A46" s="2"/>
      <c r="B46" s="22"/>
      <c r="C46" s="2"/>
      <c r="D46" s="13"/>
      <c r="E46" s="3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 ht="13.5" customHeight="1">
      <c r="A47" s="2"/>
      <c r="B47" s="22"/>
      <c r="C47" s="2"/>
      <c r="D47" s="13"/>
      <c r="E47" s="3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 ht="13.5" customHeight="1">
      <c r="A48" s="2"/>
      <c r="B48" s="22"/>
      <c r="C48" s="2"/>
      <c r="D48" s="13"/>
      <c r="E48" s="3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 ht="13.5" customHeight="1">
      <c r="A49" s="2"/>
      <c r="B49" s="22"/>
      <c r="C49" s="2"/>
      <c r="D49" s="13"/>
      <c r="E49" s="3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</row>
    <row r="50" ht="13.5" customHeight="1">
      <c r="A50" s="2"/>
      <c r="B50" s="22"/>
      <c r="C50" s="2"/>
      <c r="D50" s="13"/>
      <c r="E50" s="3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 ht="13.5" customHeight="1">
      <c r="A51" s="2"/>
      <c r="B51" s="22"/>
      <c r="C51" s="2"/>
      <c r="D51" s="13"/>
      <c r="E51" s="3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 ht="13.5" customHeight="1">
      <c r="A52" s="2"/>
      <c r="B52" s="22"/>
      <c r="C52" s="2"/>
      <c r="D52" s="13"/>
      <c r="E52" s="3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 ht="13.5" customHeight="1">
      <c r="A53" s="2"/>
      <c r="B53" s="22"/>
      <c r="C53" s="2"/>
      <c r="D53" s="13"/>
      <c r="E53" s="3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 ht="13.5" customHeight="1">
      <c r="A54" s="2"/>
      <c r="B54" s="22"/>
      <c r="C54" s="2"/>
      <c r="D54" s="13"/>
      <c r="E54" s="3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 ht="13.5" customHeight="1">
      <c r="A55" s="2"/>
      <c r="B55" s="22"/>
      <c r="C55" s="2"/>
      <c r="D55" s="13"/>
      <c r="E55" s="3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 ht="13.5" customHeight="1">
      <c r="A56" s="2"/>
      <c r="B56" s="22"/>
      <c r="C56" s="2"/>
      <c r="D56" s="13"/>
      <c r="E56" s="3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 ht="13.5" customHeight="1">
      <c r="A57" s="2"/>
      <c r="B57" s="22"/>
      <c r="C57" s="2"/>
      <c r="D57" s="13"/>
      <c r="E57" s="3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 ht="13.5" customHeight="1">
      <c r="A58" s="2"/>
      <c r="B58" s="22"/>
      <c r="C58" s="2"/>
      <c r="D58" s="13"/>
      <c r="E58" s="3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 ht="13.5" customHeight="1">
      <c r="A59" s="2"/>
      <c r="B59" s="22"/>
      <c r="C59" s="2"/>
      <c r="D59" s="13"/>
      <c r="E59" s="3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 ht="13.5" customHeight="1">
      <c r="A60" s="2"/>
      <c r="B60" s="22"/>
      <c r="C60" s="2"/>
      <c r="D60" s="13"/>
      <c r="E60" s="3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 ht="13.5" customHeight="1">
      <c r="A61" s="2"/>
      <c r="B61" s="22"/>
      <c r="C61" s="2"/>
      <c r="D61" s="13"/>
      <c r="E61" s="3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 ht="13.5" customHeight="1">
      <c r="A62" s="2"/>
      <c r="B62" s="22"/>
      <c r="C62" s="2"/>
      <c r="D62" s="13"/>
      <c r="E62" s="3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 ht="13.5" customHeight="1">
      <c r="A63" s="2"/>
      <c r="B63" s="22"/>
      <c r="C63" s="2"/>
      <c r="D63" s="13"/>
      <c r="E63" s="3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  <row r="64" ht="13.5" customHeight="1">
      <c r="A64" s="2"/>
      <c r="B64" s="22"/>
      <c r="C64" s="2"/>
      <c r="D64" s="13"/>
      <c r="E64" s="3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</row>
    <row r="65" ht="13.5" customHeight="1">
      <c r="A65" s="2"/>
      <c r="B65" s="22"/>
      <c r="C65" s="2"/>
      <c r="D65" s="13"/>
      <c r="E65" s="3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</row>
    <row r="66" ht="13.5" customHeight="1">
      <c r="A66" s="2"/>
      <c r="B66" s="22"/>
      <c r="C66" s="2"/>
      <c r="D66" s="13"/>
      <c r="E66" s="3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</row>
    <row r="67" ht="13.5" customHeight="1">
      <c r="A67" s="2"/>
      <c r="B67" s="22"/>
      <c r="C67" s="2"/>
      <c r="D67" s="13"/>
      <c r="E67" s="3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</row>
    <row r="68" ht="13.5" customHeight="1">
      <c r="A68" s="2"/>
      <c r="B68" s="22"/>
      <c r="C68" s="2"/>
      <c r="D68" s="13"/>
      <c r="E68" s="3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</row>
    <row r="69" ht="13.5" customHeight="1">
      <c r="A69" s="2"/>
      <c r="B69" s="22"/>
      <c r="C69" s="2"/>
      <c r="D69" s="13"/>
      <c r="E69" s="3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</row>
    <row r="70" ht="13.5" customHeight="1">
      <c r="A70" s="2"/>
      <c r="B70" s="22"/>
      <c r="C70" s="2"/>
      <c r="D70" s="13"/>
      <c r="E70" s="3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  <row r="71" ht="13.5" customHeight="1">
      <c r="A71" s="2"/>
      <c r="B71" s="22"/>
      <c r="C71" s="2"/>
      <c r="D71" s="13"/>
      <c r="E71" s="3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</row>
    <row r="72" ht="13.5" customHeight="1">
      <c r="A72" s="2"/>
      <c r="B72" s="22"/>
      <c r="C72" s="2"/>
      <c r="D72" s="13"/>
      <c r="E72" s="3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</row>
    <row r="73" ht="13.5" customHeight="1">
      <c r="A73" s="2"/>
      <c r="B73" s="22"/>
      <c r="C73" s="2"/>
      <c r="D73" s="13"/>
      <c r="E73" s="3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</row>
    <row r="74" ht="13.5" customHeight="1">
      <c r="A74" s="2"/>
      <c r="B74" s="22"/>
      <c r="C74" s="2"/>
      <c r="D74" s="13"/>
      <c r="E74" s="3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</row>
    <row r="75" ht="13.5" customHeight="1">
      <c r="A75" s="2"/>
      <c r="B75" s="22"/>
      <c r="C75" s="2"/>
      <c r="D75" s="13"/>
      <c r="E75" s="3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</row>
    <row r="76" ht="13.5" customHeight="1">
      <c r="A76" s="2"/>
      <c r="B76" s="22"/>
      <c r="C76" s="2"/>
      <c r="D76" s="13"/>
      <c r="E76" s="3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</row>
    <row r="77" ht="13.5" customHeight="1">
      <c r="A77" s="2"/>
      <c r="B77" s="22"/>
      <c r="C77" s="2"/>
      <c r="D77" s="13"/>
      <c r="E77" s="3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</row>
    <row r="78" ht="13.5" customHeight="1">
      <c r="A78" s="2"/>
      <c r="B78" s="22"/>
      <c r="C78" s="2"/>
      <c r="D78" s="13"/>
      <c r="E78" s="3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</row>
    <row r="79" ht="13.5" customHeight="1">
      <c r="A79" s="2"/>
      <c r="B79" s="22"/>
      <c r="C79" s="2"/>
      <c r="D79" s="13"/>
      <c r="E79" s="3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</row>
    <row r="80" ht="13.5" customHeight="1">
      <c r="A80" s="2"/>
      <c r="B80" s="22"/>
      <c r="C80" s="2"/>
      <c r="D80" s="13"/>
      <c r="E80" s="3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</row>
    <row r="81" ht="13.5" customHeight="1">
      <c r="A81" s="2"/>
      <c r="B81" s="22"/>
      <c r="C81" s="2"/>
      <c r="D81" s="13"/>
      <c r="E81" s="3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</row>
    <row r="82" ht="13.5" customHeight="1">
      <c r="A82" s="2"/>
      <c r="B82" s="22"/>
      <c r="C82" s="2"/>
      <c r="D82" s="13"/>
      <c r="E82" s="3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</row>
    <row r="83" ht="13.5" customHeight="1">
      <c r="A83" s="2"/>
      <c r="B83" s="22"/>
      <c r="C83" s="2"/>
      <c r="D83" s="13"/>
      <c r="E83" s="3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</row>
    <row r="84" ht="13.5" customHeight="1">
      <c r="A84" s="2"/>
      <c r="B84" s="22"/>
      <c r="C84" s="2"/>
      <c r="D84" s="13"/>
      <c r="E84" s="3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</row>
    <row r="85" ht="13.5" customHeight="1">
      <c r="A85" s="2"/>
      <c r="B85" s="22"/>
      <c r="C85" s="2"/>
      <c r="D85" s="13"/>
      <c r="E85" s="3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</row>
    <row r="86" ht="13.5" customHeight="1">
      <c r="A86" s="2"/>
      <c r="B86" s="22"/>
      <c r="C86" s="2"/>
      <c r="D86" s="13"/>
      <c r="E86" s="3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</row>
    <row r="87" ht="13.5" customHeight="1">
      <c r="A87" s="2"/>
      <c r="B87" s="22"/>
      <c r="C87" s="2"/>
      <c r="D87" s="13"/>
      <c r="E87" s="3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</row>
    <row r="88" ht="13.5" customHeight="1">
      <c r="A88" s="2"/>
      <c r="B88" s="22"/>
      <c r="C88" s="2"/>
      <c r="D88" s="13"/>
      <c r="E88" s="3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</row>
    <row r="89" ht="13.5" customHeight="1">
      <c r="A89" s="2"/>
      <c r="B89" s="22"/>
      <c r="C89" s="2"/>
      <c r="D89" s="13"/>
      <c r="E89" s="3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</row>
    <row r="90" ht="13.5" customHeight="1">
      <c r="A90" s="2"/>
      <c r="B90" s="22"/>
      <c r="C90" s="2"/>
      <c r="D90" s="13"/>
      <c r="E90" s="3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</row>
    <row r="91" ht="13.5" customHeight="1">
      <c r="A91" s="2"/>
      <c r="B91" s="22"/>
      <c r="C91" s="2"/>
      <c r="D91" s="13"/>
      <c r="E91" s="3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 ht="13.5" customHeight="1">
      <c r="A92" s="2"/>
      <c r="B92" s="22"/>
      <c r="C92" s="2"/>
      <c r="D92" s="13"/>
      <c r="E92" s="3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</row>
    <row r="93" ht="13.5" customHeight="1">
      <c r="A93" s="2"/>
      <c r="B93" s="22"/>
      <c r="C93" s="2"/>
      <c r="D93" s="13"/>
      <c r="E93" s="3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</row>
    <row r="94" ht="13.5" customHeight="1">
      <c r="A94" s="2"/>
      <c r="B94" s="22"/>
      <c r="C94" s="2"/>
      <c r="D94" s="13"/>
      <c r="E94" s="3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</row>
    <row r="95" ht="13.5" customHeight="1">
      <c r="A95" s="2"/>
      <c r="B95" s="22"/>
      <c r="C95" s="2"/>
      <c r="D95" s="13"/>
      <c r="E95" s="3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</row>
    <row r="96" ht="13.5" customHeight="1">
      <c r="A96" s="2"/>
      <c r="B96" s="22"/>
      <c r="C96" s="2"/>
      <c r="D96" s="13"/>
      <c r="E96" s="3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</row>
    <row r="97" ht="13.5" customHeight="1">
      <c r="A97" s="2"/>
      <c r="B97" s="22"/>
      <c r="C97" s="2"/>
      <c r="D97" s="13"/>
      <c r="E97" s="3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</row>
    <row r="98" ht="13.5" customHeight="1">
      <c r="A98" s="2"/>
      <c r="B98" s="22"/>
      <c r="C98" s="2"/>
      <c r="D98" s="13"/>
      <c r="E98" s="3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</row>
    <row r="99" ht="13.5" customHeight="1">
      <c r="A99" s="2"/>
      <c r="B99" s="22"/>
      <c r="C99" s="2"/>
      <c r="D99" s="13"/>
      <c r="E99" s="3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</row>
    <row r="100" ht="13.5" customHeight="1">
      <c r="A100" s="2"/>
      <c r="B100" s="22"/>
      <c r="C100" s="2"/>
      <c r="D100" s="13"/>
      <c r="E100" s="3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</row>
    <row r="101" ht="13.5" customHeight="1">
      <c r="A101" s="2"/>
      <c r="B101" s="22"/>
      <c r="C101" s="2"/>
      <c r="D101" s="13"/>
      <c r="E101" s="3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</row>
    <row r="102" ht="13.5" customHeight="1">
      <c r="A102" s="2"/>
      <c r="B102" s="22"/>
      <c r="C102" s="2"/>
      <c r="D102" s="13"/>
      <c r="E102" s="3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</row>
    <row r="103" ht="13.5" customHeight="1">
      <c r="A103" s="2"/>
      <c r="B103" s="22"/>
      <c r="C103" s="2"/>
      <c r="D103" s="13"/>
      <c r="E103" s="3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</row>
    <row r="104" ht="13.5" customHeight="1">
      <c r="A104" s="2"/>
      <c r="B104" s="22"/>
      <c r="C104" s="2"/>
      <c r="D104" s="13"/>
      <c r="E104" s="3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</row>
    <row r="105" ht="13.5" customHeight="1">
      <c r="A105" s="2"/>
      <c r="B105" s="22"/>
      <c r="C105" s="2"/>
      <c r="D105" s="13"/>
      <c r="E105" s="3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</row>
    <row r="106" ht="13.5" customHeight="1">
      <c r="A106" s="2"/>
      <c r="B106" s="22"/>
      <c r="C106" s="2"/>
      <c r="D106" s="13"/>
      <c r="E106" s="3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</row>
    <row r="107" ht="13.5" customHeight="1">
      <c r="A107" s="2"/>
      <c r="B107" s="22"/>
      <c r="C107" s="2"/>
      <c r="D107" s="13"/>
      <c r="E107" s="3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</row>
    <row r="108" ht="13.5" customHeight="1">
      <c r="A108" s="2"/>
      <c r="B108" s="22"/>
      <c r="C108" s="2"/>
      <c r="D108" s="13"/>
      <c r="E108" s="3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</row>
    <row r="109" ht="13.5" customHeight="1">
      <c r="A109" s="2"/>
      <c r="B109" s="22"/>
      <c r="C109" s="2"/>
      <c r="D109" s="13"/>
      <c r="E109" s="3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</row>
    <row r="110" ht="13.5" customHeight="1">
      <c r="A110" s="2"/>
      <c r="B110" s="22"/>
      <c r="C110" s="2"/>
      <c r="D110" s="13"/>
      <c r="E110" s="3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</row>
    <row r="111" ht="13.5" customHeight="1">
      <c r="A111" s="2"/>
      <c r="B111" s="22"/>
      <c r="C111" s="2"/>
      <c r="D111" s="13"/>
      <c r="E111" s="3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</row>
    <row r="112" ht="13.5" customHeight="1">
      <c r="A112" s="2"/>
      <c r="B112" s="22"/>
      <c r="C112" s="2"/>
      <c r="D112" s="13"/>
      <c r="E112" s="3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</row>
    <row r="113" ht="13.5" customHeight="1">
      <c r="A113" s="2"/>
      <c r="B113" s="22"/>
      <c r="C113" s="2"/>
      <c r="D113" s="13"/>
      <c r="E113" s="3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</row>
    <row r="114" ht="13.5" customHeight="1">
      <c r="A114" s="2"/>
      <c r="B114" s="22"/>
      <c r="C114" s="2"/>
      <c r="D114" s="13"/>
      <c r="E114" s="3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</row>
    <row r="115" ht="13.5" customHeight="1">
      <c r="A115" s="2"/>
      <c r="B115" s="22"/>
      <c r="C115" s="2"/>
      <c r="D115" s="13"/>
      <c r="E115" s="3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</row>
    <row r="116" ht="13.5" customHeight="1">
      <c r="A116" s="2"/>
      <c r="B116" s="22"/>
      <c r="C116" s="2"/>
      <c r="D116" s="13"/>
      <c r="E116" s="3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</row>
    <row r="117" ht="13.5" customHeight="1">
      <c r="A117" s="2"/>
      <c r="B117" s="22"/>
      <c r="C117" s="2"/>
      <c r="D117" s="13"/>
      <c r="E117" s="3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</row>
    <row r="118" ht="13.5" customHeight="1">
      <c r="A118" s="2"/>
      <c r="B118" s="22"/>
      <c r="C118" s="2"/>
      <c r="D118" s="13"/>
      <c r="E118" s="3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</row>
    <row r="119" ht="13.5" customHeight="1">
      <c r="A119" s="2"/>
      <c r="B119" s="22"/>
      <c r="C119" s="2"/>
      <c r="D119" s="13"/>
      <c r="E119" s="3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</row>
    <row r="120" ht="13.5" customHeight="1">
      <c r="A120" s="2"/>
      <c r="B120" s="22"/>
      <c r="C120" s="2"/>
      <c r="D120" s="13"/>
      <c r="E120" s="3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</row>
    <row r="121" ht="13.5" customHeight="1">
      <c r="A121" s="2"/>
      <c r="B121" s="22"/>
      <c r="C121" s="2"/>
      <c r="D121" s="13"/>
      <c r="E121" s="3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</row>
    <row r="122" ht="13.5" customHeight="1">
      <c r="A122" s="2"/>
      <c r="B122" s="22"/>
      <c r="C122" s="2"/>
      <c r="D122" s="13"/>
      <c r="E122" s="3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</row>
    <row r="123" ht="13.5" customHeight="1">
      <c r="A123" s="2"/>
      <c r="B123" s="22"/>
      <c r="C123" s="2"/>
      <c r="D123" s="13"/>
      <c r="E123" s="3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</row>
    <row r="124" ht="13.5" customHeight="1">
      <c r="A124" s="2"/>
      <c r="B124" s="22"/>
      <c r="C124" s="2"/>
      <c r="D124" s="13"/>
      <c r="E124" s="3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</row>
    <row r="125" ht="13.5" customHeight="1">
      <c r="A125" s="2"/>
      <c r="B125" s="22"/>
      <c r="C125" s="2"/>
      <c r="D125" s="13"/>
      <c r="E125" s="3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</row>
    <row r="126" ht="13.5" customHeight="1">
      <c r="A126" s="2"/>
      <c r="B126" s="22"/>
      <c r="C126" s="2"/>
      <c r="D126" s="13"/>
      <c r="E126" s="3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</row>
    <row r="127" ht="13.5" customHeight="1">
      <c r="A127" s="2"/>
      <c r="B127" s="22"/>
      <c r="C127" s="2"/>
      <c r="D127" s="13"/>
      <c r="E127" s="3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</row>
    <row r="128" ht="13.5" customHeight="1">
      <c r="A128" s="2"/>
      <c r="B128" s="22"/>
      <c r="C128" s="2"/>
      <c r="D128" s="13"/>
      <c r="E128" s="3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</row>
    <row r="129" ht="13.5" customHeight="1">
      <c r="A129" s="2"/>
      <c r="B129" s="22"/>
      <c r="C129" s="2"/>
      <c r="D129" s="13"/>
      <c r="E129" s="3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</row>
    <row r="130" ht="13.5" customHeight="1">
      <c r="A130" s="2"/>
      <c r="B130" s="22"/>
      <c r="C130" s="2"/>
      <c r="D130" s="13"/>
      <c r="E130" s="3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</row>
    <row r="131" ht="13.5" customHeight="1">
      <c r="A131" s="2"/>
      <c r="B131" s="22"/>
      <c r="C131" s="2"/>
      <c r="D131" s="13"/>
      <c r="E131" s="3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</row>
    <row r="132" ht="13.5" customHeight="1">
      <c r="A132" s="2"/>
      <c r="B132" s="22"/>
      <c r="C132" s="2"/>
      <c r="D132" s="13"/>
      <c r="E132" s="3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</row>
    <row r="133" ht="13.5" customHeight="1">
      <c r="A133" s="2"/>
      <c r="B133" s="22"/>
      <c r="C133" s="2"/>
      <c r="D133" s="13"/>
      <c r="E133" s="3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</row>
    <row r="134" ht="13.5" customHeight="1">
      <c r="A134" s="2"/>
      <c r="B134" s="22"/>
      <c r="C134" s="2"/>
      <c r="D134" s="13"/>
      <c r="E134" s="3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</row>
    <row r="135" ht="13.5" customHeight="1">
      <c r="A135" s="2"/>
      <c r="B135" s="22"/>
      <c r="C135" s="2"/>
      <c r="D135" s="13"/>
      <c r="E135" s="3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</row>
    <row r="136" ht="13.5" customHeight="1">
      <c r="A136" s="2"/>
      <c r="B136" s="22"/>
      <c r="C136" s="2"/>
      <c r="D136" s="13"/>
      <c r="E136" s="3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</row>
    <row r="137" ht="13.5" customHeight="1">
      <c r="A137" s="2"/>
      <c r="B137" s="22"/>
      <c r="C137" s="2"/>
      <c r="D137" s="13"/>
      <c r="E137" s="3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</row>
    <row r="138" ht="13.5" customHeight="1">
      <c r="A138" s="2"/>
      <c r="B138" s="22"/>
      <c r="C138" s="2"/>
      <c r="D138" s="13"/>
      <c r="E138" s="3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</row>
    <row r="139" ht="13.5" customHeight="1">
      <c r="A139" s="2"/>
      <c r="B139" s="22"/>
      <c r="C139" s="2"/>
      <c r="D139" s="13"/>
      <c r="E139" s="3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</row>
    <row r="140" ht="13.5" customHeight="1">
      <c r="A140" s="2"/>
      <c r="B140" s="22"/>
      <c r="C140" s="2"/>
      <c r="D140" s="13"/>
      <c r="E140" s="3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</row>
    <row r="141" ht="13.5" customHeight="1">
      <c r="A141" s="2"/>
      <c r="B141" s="22"/>
      <c r="C141" s="2"/>
      <c r="D141" s="13"/>
      <c r="E141" s="3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</row>
    <row r="142" ht="13.5" customHeight="1">
      <c r="A142" s="2"/>
      <c r="B142" s="22"/>
      <c r="C142" s="2"/>
      <c r="D142" s="13"/>
      <c r="E142" s="3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</row>
    <row r="143" ht="13.5" customHeight="1">
      <c r="A143" s="2"/>
      <c r="B143" s="22"/>
      <c r="C143" s="2"/>
      <c r="D143" s="13"/>
      <c r="E143" s="3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</row>
    <row r="144" ht="13.5" customHeight="1">
      <c r="A144" s="2"/>
      <c r="B144" s="22"/>
      <c r="C144" s="2"/>
      <c r="D144" s="13"/>
      <c r="E144" s="3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</row>
    <row r="145" ht="13.5" customHeight="1">
      <c r="A145" s="2"/>
      <c r="B145" s="22"/>
      <c r="C145" s="2"/>
      <c r="D145" s="13"/>
      <c r="E145" s="3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</row>
    <row r="146" ht="13.5" customHeight="1">
      <c r="A146" s="2"/>
      <c r="B146" s="22"/>
      <c r="C146" s="2"/>
      <c r="D146" s="13"/>
      <c r="E146" s="3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</row>
    <row r="147" ht="13.5" customHeight="1">
      <c r="A147" s="2"/>
      <c r="B147" s="22"/>
      <c r="C147" s="2"/>
      <c r="D147" s="13"/>
      <c r="E147" s="3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</row>
    <row r="148" ht="13.5" customHeight="1">
      <c r="A148" s="2"/>
      <c r="B148" s="22"/>
      <c r="C148" s="2"/>
      <c r="D148" s="13"/>
      <c r="E148" s="3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</row>
    <row r="149" ht="13.5" customHeight="1">
      <c r="A149" s="2"/>
      <c r="B149" s="22"/>
      <c r="C149" s="2"/>
      <c r="D149" s="13"/>
      <c r="E149" s="3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</row>
    <row r="150" ht="13.5" customHeight="1">
      <c r="A150" s="2"/>
      <c r="B150" s="22"/>
      <c r="C150" s="2"/>
      <c r="D150" s="13"/>
      <c r="E150" s="3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</row>
    <row r="151" ht="13.5" customHeight="1">
      <c r="A151" s="2"/>
      <c r="B151" s="22"/>
      <c r="C151" s="2"/>
      <c r="D151" s="13"/>
      <c r="E151" s="3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</row>
    <row r="152" ht="13.5" customHeight="1">
      <c r="A152" s="2"/>
      <c r="B152" s="22"/>
      <c r="C152" s="2"/>
      <c r="D152" s="13"/>
      <c r="E152" s="3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</row>
    <row r="153" ht="13.5" customHeight="1">
      <c r="A153" s="2"/>
      <c r="B153" s="22"/>
      <c r="C153" s="2"/>
      <c r="D153" s="13"/>
      <c r="E153" s="3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</row>
    <row r="154" ht="13.5" customHeight="1">
      <c r="A154" s="2"/>
      <c r="B154" s="22"/>
      <c r="C154" s="2"/>
      <c r="D154" s="13"/>
      <c r="E154" s="3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</row>
    <row r="155" ht="13.5" customHeight="1">
      <c r="A155" s="2"/>
      <c r="B155" s="22"/>
      <c r="C155" s="2"/>
      <c r="D155" s="13"/>
      <c r="E155" s="3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</row>
    <row r="156" ht="13.5" customHeight="1">
      <c r="A156" s="2"/>
      <c r="B156" s="22"/>
      <c r="C156" s="2"/>
      <c r="D156" s="13"/>
      <c r="E156" s="3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</row>
    <row r="157" ht="13.5" customHeight="1">
      <c r="A157" s="2"/>
      <c r="B157" s="22"/>
      <c r="C157" s="2"/>
      <c r="D157" s="13"/>
      <c r="E157" s="3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</row>
    <row r="158" ht="13.5" customHeight="1">
      <c r="A158" s="2"/>
      <c r="B158" s="22"/>
      <c r="C158" s="2"/>
      <c r="D158" s="13"/>
      <c r="E158" s="3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</row>
    <row r="159" ht="13.5" customHeight="1">
      <c r="A159" s="2"/>
      <c r="B159" s="22"/>
      <c r="C159" s="2"/>
      <c r="D159" s="13"/>
      <c r="E159" s="3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</row>
    <row r="160" ht="13.5" customHeight="1">
      <c r="A160" s="2"/>
      <c r="B160" s="22"/>
      <c r="C160" s="2"/>
      <c r="D160" s="13"/>
      <c r="E160" s="3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</row>
    <row r="161" ht="13.5" customHeight="1">
      <c r="A161" s="2"/>
      <c r="B161" s="22"/>
      <c r="C161" s="2"/>
      <c r="D161" s="13"/>
      <c r="E161" s="3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</row>
    <row r="162" ht="13.5" customHeight="1">
      <c r="A162" s="2"/>
      <c r="B162" s="22"/>
      <c r="C162" s="2"/>
      <c r="D162" s="13"/>
      <c r="E162" s="3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</row>
    <row r="163" ht="13.5" customHeight="1">
      <c r="A163" s="2"/>
      <c r="B163" s="22"/>
      <c r="C163" s="2"/>
      <c r="D163" s="13"/>
      <c r="E163" s="3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</row>
    <row r="164" ht="13.5" customHeight="1">
      <c r="A164" s="2"/>
      <c r="B164" s="22"/>
      <c r="C164" s="2"/>
      <c r="D164" s="13"/>
      <c r="E164" s="3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</row>
    <row r="165" ht="13.5" customHeight="1">
      <c r="A165" s="2"/>
      <c r="B165" s="22"/>
      <c r="C165" s="2"/>
      <c r="D165" s="13"/>
      <c r="E165" s="3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</row>
    <row r="166" ht="13.5" customHeight="1">
      <c r="A166" s="2"/>
      <c r="B166" s="22"/>
      <c r="C166" s="2"/>
      <c r="D166" s="13"/>
      <c r="E166" s="3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</row>
    <row r="167" ht="13.5" customHeight="1">
      <c r="A167" s="2"/>
      <c r="B167" s="22"/>
      <c r="C167" s="2"/>
      <c r="D167" s="13"/>
      <c r="E167" s="3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</row>
    <row r="168" ht="13.5" customHeight="1">
      <c r="A168" s="2"/>
      <c r="B168" s="22"/>
      <c r="C168" s="2"/>
      <c r="D168" s="13"/>
      <c r="E168" s="3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</row>
    <row r="169" ht="13.5" customHeight="1">
      <c r="A169" s="2"/>
      <c r="B169" s="22"/>
      <c r="C169" s="2"/>
      <c r="D169" s="13"/>
      <c r="E169" s="3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</row>
    <row r="170" ht="13.5" customHeight="1">
      <c r="A170" s="2"/>
      <c r="B170" s="22"/>
      <c r="C170" s="2"/>
      <c r="D170" s="13"/>
      <c r="E170" s="3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</row>
    <row r="171" ht="13.5" customHeight="1">
      <c r="A171" s="2"/>
      <c r="B171" s="22"/>
      <c r="C171" s="2"/>
      <c r="D171" s="13"/>
      <c r="E171" s="3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</row>
    <row r="172" ht="13.5" customHeight="1">
      <c r="A172" s="2"/>
      <c r="B172" s="22"/>
      <c r="C172" s="2"/>
      <c r="D172" s="13"/>
      <c r="E172" s="3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</row>
    <row r="173" ht="13.5" customHeight="1">
      <c r="A173" s="2"/>
      <c r="B173" s="22"/>
      <c r="C173" s="2"/>
      <c r="D173" s="13"/>
      <c r="E173" s="3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</row>
    <row r="174" ht="13.5" customHeight="1">
      <c r="A174" s="2"/>
      <c r="B174" s="22"/>
      <c r="C174" s="2"/>
      <c r="D174" s="13"/>
      <c r="E174" s="3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</row>
    <row r="175" ht="13.5" customHeight="1">
      <c r="A175" s="2"/>
      <c r="B175" s="22"/>
      <c r="C175" s="2"/>
      <c r="D175" s="13"/>
      <c r="E175" s="3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</row>
    <row r="176" ht="13.5" customHeight="1">
      <c r="A176" s="2"/>
      <c r="B176" s="22"/>
      <c r="C176" s="2"/>
      <c r="D176" s="13"/>
      <c r="E176" s="3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</row>
    <row r="177" ht="13.5" customHeight="1">
      <c r="A177" s="2"/>
      <c r="B177" s="22"/>
      <c r="C177" s="2"/>
      <c r="D177" s="13"/>
      <c r="E177" s="3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</row>
    <row r="178" ht="13.5" customHeight="1">
      <c r="A178" s="2"/>
      <c r="B178" s="22"/>
      <c r="C178" s="2"/>
      <c r="D178" s="13"/>
      <c r="E178" s="3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</row>
    <row r="179" ht="13.5" customHeight="1">
      <c r="A179" s="2"/>
      <c r="B179" s="22"/>
      <c r="C179" s="2"/>
      <c r="D179" s="13"/>
      <c r="E179" s="3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</row>
    <row r="180" ht="13.5" customHeight="1">
      <c r="A180" s="2"/>
      <c r="B180" s="22"/>
      <c r="C180" s="2"/>
      <c r="D180" s="13"/>
      <c r="E180" s="3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</row>
    <row r="181" ht="13.5" customHeight="1">
      <c r="A181" s="2"/>
      <c r="B181" s="22"/>
      <c r="C181" s="2"/>
      <c r="D181" s="13"/>
      <c r="E181" s="3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</row>
    <row r="182" ht="13.5" customHeight="1">
      <c r="A182" s="2"/>
      <c r="B182" s="22"/>
      <c r="C182" s="2"/>
      <c r="D182" s="13"/>
      <c r="E182" s="3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</row>
    <row r="183" ht="13.5" customHeight="1">
      <c r="A183" s="2"/>
      <c r="B183" s="22"/>
      <c r="C183" s="2"/>
      <c r="D183" s="13"/>
      <c r="E183" s="3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</row>
    <row r="184" ht="13.5" customHeight="1">
      <c r="A184" s="2"/>
      <c r="B184" s="22"/>
      <c r="C184" s="2"/>
      <c r="D184" s="13"/>
      <c r="E184" s="3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</row>
    <row r="185" ht="13.5" customHeight="1">
      <c r="A185" s="2"/>
      <c r="B185" s="22"/>
      <c r="C185" s="2"/>
      <c r="D185" s="13"/>
      <c r="E185" s="3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</row>
    <row r="186" ht="13.5" customHeight="1">
      <c r="A186" s="2"/>
      <c r="B186" s="22"/>
      <c r="C186" s="2"/>
      <c r="D186" s="13"/>
      <c r="E186" s="3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</row>
    <row r="187" ht="13.5" customHeight="1">
      <c r="A187" s="2"/>
      <c r="B187" s="22"/>
      <c r="C187" s="2"/>
      <c r="D187" s="13"/>
      <c r="E187" s="3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</row>
    <row r="188" ht="13.5" customHeight="1">
      <c r="A188" s="2"/>
      <c r="B188" s="22"/>
      <c r="C188" s="2"/>
      <c r="D188" s="13"/>
      <c r="E188" s="3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</row>
    <row r="189" ht="13.5" customHeight="1">
      <c r="A189" s="2"/>
      <c r="B189" s="22"/>
      <c r="C189" s="2"/>
      <c r="D189" s="13"/>
      <c r="E189" s="3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</row>
    <row r="190" ht="13.5" customHeight="1">
      <c r="A190" s="2"/>
      <c r="B190" s="22"/>
      <c r="C190" s="2"/>
      <c r="D190" s="13"/>
      <c r="E190" s="3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</row>
    <row r="191" ht="13.5" customHeight="1">
      <c r="A191" s="2"/>
      <c r="B191" s="22"/>
      <c r="C191" s="2"/>
      <c r="D191" s="13"/>
      <c r="E191" s="3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</row>
    <row r="192" ht="13.5" customHeight="1">
      <c r="A192" s="2"/>
      <c r="B192" s="22"/>
      <c r="C192" s="2"/>
      <c r="D192" s="13"/>
      <c r="E192" s="3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</row>
    <row r="193" ht="13.5" customHeight="1">
      <c r="A193" s="2"/>
      <c r="B193" s="22"/>
      <c r="C193" s="2"/>
      <c r="D193" s="13"/>
      <c r="E193" s="3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</row>
    <row r="194" ht="13.5" customHeight="1">
      <c r="A194" s="2"/>
      <c r="B194" s="22"/>
      <c r="C194" s="2"/>
      <c r="D194" s="13"/>
      <c r="E194" s="3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</row>
    <row r="195" ht="13.5" customHeight="1">
      <c r="A195" s="2"/>
      <c r="B195" s="22"/>
      <c r="C195" s="2"/>
      <c r="D195" s="13"/>
      <c r="E195" s="3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</row>
    <row r="196" ht="13.5" customHeight="1">
      <c r="A196" s="2"/>
      <c r="B196" s="22"/>
      <c r="C196" s="2"/>
      <c r="D196" s="13"/>
      <c r="E196" s="3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</row>
    <row r="197" ht="13.5" customHeight="1">
      <c r="A197" s="2"/>
      <c r="B197" s="22"/>
      <c r="C197" s="2"/>
      <c r="D197" s="13"/>
      <c r="E197" s="3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</row>
    <row r="198" ht="13.5" customHeight="1">
      <c r="A198" s="2"/>
      <c r="B198" s="22"/>
      <c r="C198" s="2"/>
      <c r="D198" s="13"/>
      <c r="E198" s="3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</row>
    <row r="199" ht="13.5" customHeight="1">
      <c r="A199" s="2"/>
      <c r="B199" s="22"/>
      <c r="C199" s="2"/>
      <c r="D199" s="13"/>
      <c r="E199" s="3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</row>
    <row r="200" ht="13.5" customHeight="1">
      <c r="A200" s="2"/>
      <c r="B200" s="22"/>
      <c r="C200" s="2"/>
      <c r="D200" s="13"/>
      <c r="E200" s="3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</row>
    <row r="201" ht="13.5" customHeight="1">
      <c r="A201" s="2"/>
      <c r="B201" s="22"/>
      <c r="C201" s="2"/>
      <c r="D201" s="13"/>
      <c r="E201" s="3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</row>
    <row r="202" ht="13.5" customHeight="1">
      <c r="A202" s="2"/>
      <c r="B202" s="22"/>
      <c r="C202" s="2"/>
      <c r="D202" s="13"/>
      <c r="E202" s="3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</row>
    <row r="203" ht="13.5" customHeight="1">
      <c r="A203" s="2"/>
      <c r="B203" s="22"/>
      <c r="C203" s="2"/>
      <c r="D203" s="13"/>
      <c r="E203" s="3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</row>
    <row r="204" ht="13.5" customHeight="1">
      <c r="A204" s="2"/>
      <c r="B204" s="22"/>
      <c r="C204" s="2"/>
      <c r="D204" s="13"/>
      <c r="E204" s="3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</row>
    <row r="205" ht="13.5" customHeight="1">
      <c r="A205" s="2"/>
      <c r="B205" s="22"/>
      <c r="C205" s="2"/>
      <c r="D205" s="13"/>
      <c r="E205" s="3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</row>
    <row r="206" ht="13.5" customHeight="1">
      <c r="A206" s="2"/>
      <c r="B206" s="22"/>
      <c r="C206" s="2"/>
      <c r="D206" s="13"/>
      <c r="E206" s="3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</row>
    <row r="207" ht="13.5" customHeight="1">
      <c r="A207" s="2"/>
      <c r="B207" s="22"/>
      <c r="C207" s="2"/>
      <c r="D207" s="13"/>
      <c r="E207" s="3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</row>
    <row r="208" ht="13.5" customHeight="1">
      <c r="A208" s="2"/>
      <c r="B208" s="22"/>
      <c r="C208" s="2"/>
      <c r="D208" s="13"/>
      <c r="E208" s="3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</row>
    <row r="209" ht="13.5" customHeight="1">
      <c r="A209" s="2"/>
      <c r="B209" s="22"/>
      <c r="C209" s="2"/>
      <c r="D209" s="13"/>
      <c r="E209" s="3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</row>
    <row r="210" ht="13.5" customHeight="1">
      <c r="A210" s="2"/>
      <c r="B210" s="22"/>
      <c r="C210" s="2"/>
      <c r="D210" s="13"/>
      <c r="E210" s="3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</row>
    <row r="211" ht="13.5" customHeight="1">
      <c r="A211" s="2"/>
      <c r="B211" s="22"/>
      <c r="C211" s="2"/>
      <c r="D211" s="13"/>
      <c r="E211" s="3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</row>
    <row r="212" ht="13.5" customHeight="1">
      <c r="A212" s="2"/>
      <c r="B212" s="22"/>
      <c r="C212" s="2"/>
      <c r="D212" s="13"/>
      <c r="E212" s="3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</row>
    <row r="213" ht="13.5" customHeight="1">
      <c r="A213" s="2"/>
      <c r="B213" s="22"/>
      <c r="C213" s="2"/>
      <c r="D213" s="13"/>
      <c r="E213" s="3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</row>
    <row r="214" ht="13.5" customHeight="1">
      <c r="A214" s="2"/>
      <c r="B214" s="22"/>
      <c r="C214" s="2"/>
      <c r="D214" s="13"/>
      <c r="E214" s="3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</row>
    <row r="215" ht="13.5" customHeight="1">
      <c r="A215" s="2"/>
      <c r="B215" s="22"/>
      <c r="C215" s="2"/>
      <c r="D215" s="13"/>
      <c r="E215" s="3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</row>
    <row r="216" ht="13.5" customHeight="1">
      <c r="A216" s="2"/>
      <c r="B216" s="22"/>
      <c r="C216" s="2"/>
      <c r="D216" s="13"/>
      <c r="E216" s="3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</row>
    <row r="217" ht="13.5" customHeight="1">
      <c r="A217" s="2"/>
      <c r="B217" s="22"/>
      <c r="C217" s="2"/>
      <c r="D217" s="13"/>
      <c r="E217" s="3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</row>
    <row r="218" ht="13.5" customHeight="1">
      <c r="A218" s="2"/>
      <c r="B218" s="22"/>
      <c r="C218" s="2"/>
      <c r="D218" s="13"/>
      <c r="E218" s="3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</row>
    <row r="219" ht="13.5" customHeight="1">
      <c r="A219" s="2"/>
      <c r="B219" s="22"/>
      <c r="C219" s="2"/>
      <c r="D219" s="13"/>
      <c r="E219" s="3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</row>
    <row r="220" ht="13.5" customHeight="1">
      <c r="A220" s="2"/>
      <c r="B220" s="22"/>
      <c r="C220" s="2"/>
      <c r="D220" s="13"/>
      <c r="E220" s="3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</row>
    <row r="221" ht="13.5" customHeight="1">
      <c r="A221" s="2"/>
      <c r="B221" s="22"/>
      <c r="C221" s="2"/>
      <c r="D221" s="13"/>
      <c r="E221" s="3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</row>
    <row r="222" ht="13.5" customHeight="1">
      <c r="A222" s="2"/>
      <c r="B222" s="22"/>
      <c r="C222" s="2"/>
      <c r="D222" s="13"/>
      <c r="E222" s="3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</row>
    <row r="223" ht="13.5" customHeight="1">
      <c r="A223" s="2"/>
      <c r="B223" s="22"/>
      <c r="C223" s="2"/>
      <c r="D223" s="13"/>
      <c r="E223" s="3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</row>
    <row r="224" ht="13.5" customHeight="1">
      <c r="A224" s="2"/>
      <c r="B224" s="22"/>
      <c r="C224" s="2"/>
      <c r="D224" s="13"/>
      <c r="E224" s="3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</row>
    <row r="225" ht="13.5" customHeight="1">
      <c r="A225" s="2"/>
      <c r="B225" s="22"/>
      <c r="C225" s="2"/>
      <c r="D225" s="13"/>
      <c r="E225" s="3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</row>
    <row r="226" ht="13.5" customHeight="1">
      <c r="A226" s="2"/>
      <c r="B226" s="22"/>
      <c r="C226" s="2"/>
      <c r="D226" s="13"/>
      <c r="E226" s="3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</row>
    <row r="227" ht="13.5" customHeight="1">
      <c r="A227" s="2"/>
      <c r="B227" s="22"/>
      <c r="C227" s="2"/>
      <c r="D227" s="13"/>
      <c r="E227" s="3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</row>
    <row r="228" ht="13.5" customHeight="1">
      <c r="A228" s="2"/>
      <c r="B228" s="22"/>
      <c r="C228" s="2"/>
      <c r="D228" s="13"/>
      <c r="E228" s="3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</row>
    <row r="229" ht="13.5" customHeight="1">
      <c r="A229" s="2"/>
      <c r="B229" s="22"/>
      <c r="C229" s="2"/>
      <c r="D229" s="13"/>
      <c r="E229" s="3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</row>
    <row r="230" ht="13.5" customHeight="1">
      <c r="A230" s="2"/>
      <c r="B230" s="22"/>
      <c r="C230" s="2"/>
      <c r="D230" s="13"/>
      <c r="E230" s="3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</row>
    <row r="231" ht="13.5" customHeight="1">
      <c r="A231" s="2"/>
      <c r="B231" s="22"/>
      <c r="C231" s="2"/>
      <c r="D231" s="13"/>
      <c r="E231" s="3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</row>
    <row r="232" ht="13.5" customHeight="1">
      <c r="A232" s="2"/>
      <c r="B232" s="22"/>
      <c r="C232" s="2"/>
      <c r="D232" s="13"/>
      <c r="E232" s="3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</row>
    <row r="233" ht="13.5" customHeight="1">
      <c r="A233" s="2"/>
      <c r="B233" s="22"/>
      <c r="C233" s="2"/>
      <c r="D233" s="13"/>
      <c r="E233" s="3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</row>
    <row r="234" ht="13.5" customHeight="1">
      <c r="A234" s="2"/>
      <c r="B234" s="22"/>
      <c r="C234" s="2"/>
      <c r="D234" s="13"/>
      <c r="E234" s="3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</row>
    <row r="235" ht="13.5" customHeight="1">
      <c r="A235" s="2"/>
      <c r="B235" s="22"/>
      <c r="C235" s="2"/>
      <c r="D235" s="13"/>
      <c r="E235" s="3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</row>
    <row r="236" ht="13.5" customHeight="1">
      <c r="A236" s="2"/>
      <c r="B236" s="22"/>
      <c r="C236" s="2"/>
      <c r="D236" s="13"/>
      <c r="E236" s="3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</row>
    <row r="237" ht="13.5" customHeight="1">
      <c r="A237" s="2"/>
      <c r="B237" s="22"/>
      <c r="C237" s="2"/>
      <c r="D237" s="13"/>
      <c r="E237" s="3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</row>
    <row r="238" ht="13.5" customHeight="1">
      <c r="A238" s="2"/>
      <c r="B238" s="22"/>
      <c r="C238" s="2"/>
      <c r="D238" s="13"/>
      <c r="E238" s="3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</row>
    <row r="239" ht="13.5" customHeight="1">
      <c r="A239" s="2"/>
      <c r="B239" s="22"/>
      <c r="C239" s="2"/>
      <c r="D239" s="13"/>
      <c r="E239" s="3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</row>
    <row r="240" ht="13.5" customHeight="1">
      <c r="A240" s="2"/>
      <c r="B240" s="22"/>
      <c r="C240" s="2"/>
      <c r="D240" s="13"/>
      <c r="E240" s="3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</row>
    <row r="241" ht="13.5" customHeight="1">
      <c r="A241" s="2"/>
      <c r="B241" s="22"/>
      <c r="C241" s="2"/>
      <c r="D241" s="13"/>
      <c r="E241" s="3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</row>
    <row r="242" ht="13.5" customHeight="1">
      <c r="A242" s="2"/>
      <c r="B242" s="22"/>
      <c r="C242" s="2"/>
      <c r="D242" s="13"/>
      <c r="E242" s="3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</row>
    <row r="243" ht="13.5" customHeight="1">
      <c r="A243" s="2"/>
      <c r="B243" s="22"/>
      <c r="C243" s="2"/>
      <c r="D243" s="13"/>
      <c r="E243" s="3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</row>
    <row r="244" ht="13.5" customHeight="1">
      <c r="A244" s="2"/>
      <c r="B244" s="22"/>
      <c r="C244" s="2"/>
      <c r="D244" s="13"/>
      <c r="E244" s="3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</row>
    <row r="245" ht="13.5" customHeight="1">
      <c r="A245" s="2"/>
      <c r="B245" s="22"/>
      <c r="C245" s="2"/>
      <c r="D245" s="13"/>
      <c r="E245" s="3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</row>
    <row r="246" ht="13.5" customHeight="1">
      <c r="A246" s="2"/>
      <c r="B246" s="22"/>
      <c r="C246" s="2"/>
      <c r="D246" s="13"/>
      <c r="E246" s="3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</row>
    <row r="247" ht="13.5" customHeight="1">
      <c r="A247" s="2"/>
      <c r="B247" s="22"/>
      <c r="C247" s="2"/>
      <c r="D247" s="13"/>
      <c r="E247" s="3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</row>
    <row r="248" ht="13.5" customHeight="1">
      <c r="A248" s="2"/>
      <c r="B248" s="22"/>
      <c r="C248" s="2"/>
      <c r="D248" s="13"/>
      <c r="E248" s="3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</row>
    <row r="249" ht="13.5" customHeight="1">
      <c r="A249" s="2"/>
      <c r="B249" s="22"/>
      <c r="C249" s="2"/>
      <c r="D249" s="13"/>
      <c r="E249" s="3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</row>
    <row r="250" ht="13.5" customHeight="1">
      <c r="A250" s="2"/>
      <c r="B250" s="22"/>
      <c r="C250" s="2"/>
      <c r="D250" s="13"/>
      <c r="E250" s="3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</row>
    <row r="251" ht="13.5" customHeight="1">
      <c r="A251" s="2"/>
      <c r="B251" s="22"/>
      <c r="C251" s="2"/>
      <c r="D251" s="13"/>
      <c r="E251" s="3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</row>
    <row r="252" ht="13.5" customHeight="1">
      <c r="A252" s="2"/>
      <c r="B252" s="22"/>
      <c r="C252" s="2"/>
      <c r="D252" s="13"/>
      <c r="E252" s="3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</row>
    <row r="253" ht="13.5" customHeight="1">
      <c r="A253" s="2"/>
      <c r="B253" s="22"/>
      <c r="C253" s="2"/>
      <c r="D253" s="13"/>
      <c r="E253" s="3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</row>
    <row r="254" ht="13.5" customHeight="1">
      <c r="A254" s="2"/>
      <c r="B254" s="22"/>
      <c r="C254" s="2"/>
      <c r="D254" s="13"/>
      <c r="E254" s="3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</row>
    <row r="255" ht="13.5" customHeight="1">
      <c r="A255" s="2"/>
      <c r="B255" s="22"/>
      <c r="C255" s="2"/>
      <c r="D255" s="13"/>
      <c r="E255" s="3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</row>
    <row r="256" ht="13.5" customHeight="1">
      <c r="A256" s="2"/>
      <c r="B256" s="22"/>
      <c r="C256" s="2"/>
      <c r="D256" s="13"/>
      <c r="E256" s="3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</row>
    <row r="257" ht="13.5" customHeight="1">
      <c r="A257" s="2"/>
      <c r="B257" s="22"/>
      <c r="C257" s="2"/>
      <c r="D257" s="13"/>
      <c r="E257" s="3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</row>
    <row r="258" ht="13.5" customHeight="1">
      <c r="A258" s="2"/>
      <c r="B258" s="22"/>
      <c r="C258" s="2"/>
      <c r="D258" s="13"/>
      <c r="E258" s="3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</row>
    <row r="259" ht="13.5" customHeight="1">
      <c r="A259" s="2"/>
      <c r="B259" s="22"/>
      <c r="C259" s="2"/>
      <c r="D259" s="13"/>
      <c r="E259" s="3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</row>
    <row r="260" ht="13.5" customHeight="1">
      <c r="A260" s="2"/>
      <c r="B260" s="22"/>
      <c r="C260" s="2"/>
      <c r="D260" s="13"/>
      <c r="E260" s="3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</row>
    <row r="261" ht="13.5" customHeight="1">
      <c r="A261" s="2"/>
      <c r="B261" s="22"/>
      <c r="C261" s="2"/>
      <c r="D261" s="13"/>
      <c r="E261" s="3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</row>
    <row r="262" ht="13.5" customHeight="1">
      <c r="A262" s="2"/>
      <c r="B262" s="22"/>
      <c r="C262" s="2"/>
      <c r="D262" s="13"/>
      <c r="E262" s="3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</row>
    <row r="263" ht="13.5" customHeight="1">
      <c r="A263" s="2"/>
      <c r="B263" s="22"/>
      <c r="C263" s="2"/>
      <c r="D263" s="13"/>
      <c r="E263" s="3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</row>
    <row r="264" ht="13.5" customHeight="1">
      <c r="A264" s="2"/>
      <c r="B264" s="22"/>
      <c r="C264" s="2"/>
      <c r="D264" s="13"/>
      <c r="E264" s="3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</row>
    <row r="265" ht="13.5" customHeight="1">
      <c r="A265" s="2"/>
      <c r="B265" s="22"/>
      <c r="C265" s="2"/>
      <c r="D265" s="13"/>
      <c r="E265" s="3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</row>
    <row r="266" ht="13.5" customHeight="1">
      <c r="A266" s="2"/>
      <c r="B266" s="22"/>
      <c r="C266" s="2"/>
      <c r="D266" s="13"/>
      <c r="E266" s="3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</row>
    <row r="267" ht="13.5" customHeight="1">
      <c r="A267" s="2"/>
      <c r="B267" s="22"/>
      <c r="C267" s="2"/>
      <c r="D267" s="13"/>
      <c r="E267" s="3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</row>
    <row r="268" ht="13.5" customHeight="1">
      <c r="A268" s="2"/>
      <c r="B268" s="22"/>
      <c r="C268" s="2"/>
      <c r="D268" s="13"/>
      <c r="E268" s="3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</row>
    <row r="269" ht="13.5" customHeight="1">
      <c r="A269" s="2"/>
      <c r="B269" s="22"/>
      <c r="C269" s="2"/>
      <c r="D269" s="13"/>
      <c r="E269" s="3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</row>
    <row r="270" ht="13.5" customHeight="1">
      <c r="A270" s="2"/>
      <c r="B270" s="22"/>
      <c r="C270" s="2"/>
      <c r="D270" s="13"/>
      <c r="E270" s="3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</row>
    <row r="271" ht="13.5" customHeight="1">
      <c r="A271" s="2"/>
      <c r="B271" s="22"/>
      <c r="C271" s="2"/>
      <c r="D271" s="13"/>
      <c r="E271" s="3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</row>
    <row r="272" ht="13.5" customHeight="1">
      <c r="A272" s="2"/>
      <c r="B272" s="22"/>
      <c r="C272" s="2"/>
      <c r="D272" s="13"/>
      <c r="E272" s="3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</row>
    <row r="273" ht="13.5" customHeight="1">
      <c r="A273" s="2"/>
      <c r="B273" s="22"/>
      <c r="C273" s="2"/>
      <c r="D273" s="13"/>
      <c r="E273" s="3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</row>
    <row r="274" ht="13.5" customHeight="1">
      <c r="A274" s="2"/>
      <c r="B274" s="22"/>
      <c r="C274" s="2"/>
      <c r="D274" s="13"/>
      <c r="E274" s="3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</row>
    <row r="275" ht="13.5" customHeight="1">
      <c r="A275" s="2"/>
      <c r="B275" s="22"/>
      <c r="C275" s="2"/>
      <c r="D275" s="13"/>
      <c r="E275" s="3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</row>
    <row r="276" ht="13.5" customHeight="1">
      <c r="A276" s="2"/>
      <c r="B276" s="22"/>
      <c r="C276" s="2"/>
      <c r="D276" s="13"/>
      <c r="E276" s="3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</row>
    <row r="277" ht="13.5" customHeight="1">
      <c r="A277" s="2"/>
      <c r="B277" s="22"/>
      <c r="C277" s="2"/>
      <c r="D277" s="13"/>
      <c r="E277" s="3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</row>
    <row r="278" ht="13.5" customHeight="1">
      <c r="A278" s="2"/>
      <c r="B278" s="22"/>
      <c r="C278" s="2"/>
      <c r="D278" s="13"/>
      <c r="E278" s="3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</row>
    <row r="279" ht="13.5" customHeight="1">
      <c r="A279" s="2"/>
      <c r="B279" s="22"/>
      <c r="C279" s="2"/>
      <c r="D279" s="13"/>
      <c r="E279" s="3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</row>
    <row r="280" ht="13.5" customHeight="1">
      <c r="A280" s="2"/>
      <c r="B280" s="22"/>
      <c r="C280" s="2"/>
      <c r="D280" s="13"/>
      <c r="E280" s="3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</row>
    <row r="281" ht="13.5" customHeight="1">
      <c r="A281" s="2"/>
      <c r="B281" s="22"/>
      <c r="C281" s="2"/>
      <c r="D281" s="13"/>
      <c r="E281" s="3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</row>
    <row r="282" ht="13.5" customHeight="1">
      <c r="A282" s="2"/>
      <c r="B282" s="22"/>
      <c r="C282" s="2"/>
      <c r="D282" s="13"/>
      <c r="E282" s="3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</row>
    <row r="283" ht="13.5" customHeight="1">
      <c r="A283" s="2"/>
      <c r="B283" s="22"/>
      <c r="C283" s="2"/>
      <c r="D283" s="13"/>
      <c r="E283" s="3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</row>
    <row r="284" ht="13.5" customHeight="1">
      <c r="A284" s="2"/>
      <c r="B284" s="22"/>
      <c r="C284" s="2"/>
      <c r="D284" s="13"/>
      <c r="E284" s="3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</row>
    <row r="285" ht="13.5" customHeight="1">
      <c r="A285" s="2"/>
      <c r="B285" s="22"/>
      <c r="C285" s="2"/>
      <c r="D285" s="13"/>
      <c r="E285" s="3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</row>
    <row r="286" ht="13.5" customHeight="1">
      <c r="A286" s="2"/>
      <c r="B286" s="22"/>
      <c r="C286" s="2"/>
      <c r="D286" s="13"/>
      <c r="E286" s="3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</row>
    <row r="287" ht="13.5" customHeight="1">
      <c r="A287" s="2"/>
      <c r="B287" s="22"/>
      <c r="C287" s="2"/>
      <c r="D287" s="13"/>
      <c r="E287" s="3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</row>
    <row r="288" ht="13.5" customHeight="1">
      <c r="A288" s="2"/>
      <c r="B288" s="22"/>
      <c r="C288" s="2"/>
      <c r="D288" s="13"/>
      <c r="E288" s="3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</row>
    <row r="289" ht="13.5" customHeight="1">
      <c r="A289" s="2"/>
      <c r="B289" s="22"/>
      <c r="C289" s="2"/>
      <c r="D289" s="13"/>
      <c r="E289" s="3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</row>
    <row r="290" ht="13.5" customHeight="1">
      <c r="A290" s="2"/>
      <c r="B290" s="22"/>
      <c r="C290" s="2"/>
      <c r="D290" s="13"/>
      <c r="E290" s="3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</row>
    <row r="291" ht="13.5" customHeight="1">
      <c r="A291" s="2"/>
      <c r="B291" s="22"/>
      <c r="C291" s="2"/>
      <c r="D291" s="13"/>
      <c r="E291" s="3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</row>
    <row r="292" ht="13.5" customHeight="1">
      <c r="A292" s="2"/>
      <c r="B292" s="22"/>
      <c r="C292" s="2"/>
      <c r="D292" s="13"/>
      <c r="E292" s="3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</row>
    <row r="293" ht="13.5" customHeight="1">
      <c r="A293" s="2"/>
      <c r="B293" s="22"/>
      <c r="C293" s="2"/>
      <c r="D293" s="13"/>
      <c r="E293" s="3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</row>
    <row r="294" ht="13.5" customHeight="1">
      <c r="A294" s="2"/>
      <c r="B294" s="22"/>
      <c r="C294" s="2"/>
      <c r="D294" s="13"/>
      <c r="E294" s="3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</row>
    <row r="295" ht="13.5" customHeight="1">
      <c r="A295" s="2"/>
      <c r="B295" s="22"/>
      <c r="C295" s="2"/>
      <c r="D295" s="13"/>
      <c r="E295" s="3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</row>
    <row r="296" ht="13.5" customHeight="1">
      <c r="A296" s="2"/>
      <c r="B296" s="22"/>
      <c r="C296" s="2"/>
      <c r="D296" s="13"/>
      <c r="E296" s="3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</row>
    <row r="297" ht="13.5" customHeight="1">
      <c r="A297" s="2"/>
      <c r="B297" s="22"/>
      <c r="C297" s="2"/>
      <c r="D297" s="13"/>
      <c r="E297" s="3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</row>
    <row r="298" ht="13.5" customHeight="1">
      <c r="A298" s="2"/>
      <c r="B298" s="22"/>
      <c r="C298" s="2"/>
      <c r="D298" s="13"/>
      <c r="E298" s="3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</row>
    <row r="299" ht="13.5" customHeight="1">
      <c r="A299" s="2"/>
      <c r="B299" s="22"/>
      <c r="C299" s="2"/>
      <c r="D299" s="13"/>
      <c r="E299" s="3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</row>
    <row r="300" ht="13.5" customHeight="1">
      <c r="A300" s="2"/>
      <c r="B300" s="22"/>
      <c r="C300" s="2"/>
      <c r="D300" s="13"/>
      <c r="E300" s="3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</row>
    <row r="301" ht="13.5" customHeight="1">
      <c r="A301" s="2"/>
      <c r="B301" s="22"/>
      <c r="C301" s="2"/>
      <c r="D301" s="13"/>
      <c r="E301" s="3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</row>
    <row r="302" ht="13.5" customHeight="1">
      <c r="A302" s="2"/>
      <c r="B302" s="22"/>
      <c r="C302" s="2"/>
      <c r="D302" s="13"/>
      <c r="E302" s="3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</row>
    <row r="303" ht="13.5" customHeight="1">
      <c r="A303" s="2"/>
      <c r="B303" s="22"/>
      <c r="C303" s="2"/>
      <c r="D303" s="13"/>
      <c r="E303" s="3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</row>
    <row r="304" ht="13.5" customHeight="1">
      <c r="A304" s="2"/>
      <c r="B304" s="22"/>
      <c r="C304" s="2"/>
      <c r="D304" s="13"/>
      <c r="E304" s="3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</row>
    <row r="305" ht="13.5" customHeight="1">
      <c r="A305" s="2"/>
      <c r="B305" s="22"/>
      <c r="C305" s="2"/>
      <c r="D305" s="13"/>
      <c r="E305" s="3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</row>
    <row r="306" ht="13.5" customHeight="1">
      <c r="A306" s="2"/>
      <c r="B306" s="22"/>
      <c r="C306" s="2"/>
      <c r="D306" s="13"/>
      <c r="E306" s="3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</row>
    <row r="307" ht="13.5" customHeight="1">
      <c r="A307" s="2"/>
      <c r="B307" s="22"/>
      <c r="C307" s="2"/>
      <c r="D307" s="13"/>
      <c r="E307" s="3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</row>
    <row r="308" ht="13.5" customHeight="1">
      <c r="A308" s="2"/>
      <c r="B308" s="22"/>
      <c r="C308" s="2"/>
      <c r="D308" s="13"/>
      <c r="E308" s="3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</row>
    <row r="309" ht="13.5" customHeight="1">
      <c r="A309" s="2"/>
      <c r="B309" s="22"/>
      <c r="C309" s="2"/>
      <c r="D309" s="13"/>
      <c r="E309" s="3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</row>
    <row r="310" ht="13.5" customHeight="1">
      <c r="A310" s="2"/>
      <c r="B310" s="22"/>
      <c r="C310" s="2"/>
      <c r="D310" s="13"/>
      <c r="E310" s="3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</row>
    <row r="311" ht="13.5" customHeight="1">
      <c r="A311" s="2"/>
      <c r="B311" s="22"/>
      <c r="C311" s="2"/>
      <c r="D311" s="13"/>
      <c r="E311" s="3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</row>
    <row r="312" ht="13.5" customHeight="1">
      <c r="A312" s="2"/>
      <c r="B312" s="22"/>
      <c r="C312" s="2"/>
      <c r="D312" s="13"/>
      <c r="E312" s="3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</row>
    <row r="313" ht="13.5" customHeight="1">
      <c r="A313" s="2"/>
      <c r="B313" s="22"/>
      <c r="C313" s="2"/>
      <c r="D313" s="13"/>
      <c r="E313" s="3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</row>
    <row r="314" ht="13.5" customHeight="1">
      <c r="A314" s="2"/>
      <c r="B314" s="22"/>
      <c r="C314" s="2"/>
      <c r="D314" s="13"/>
      <c r="E314" s="3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</row>
    <row r="315" ht="13.5" customHeight="1">
      <c r="A315" s="2"/>
      <c r="B315" s="22"/>
      <c r="C315" s="2"/>
      <c r="D315" s="13"/>
      <c r="E315" s="3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</row>
    <row r="316" ht="13.5" customHeight="1">
      <c r="A316" s="2"/>
      <c r="B316" s="22"/>
      <c r="C316" s="2"/>
      <c r="D316" s="13"/>
      <c r="E316" s="3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</row>
    <row r="317" ht="13.5" customHeight="1">
      <c r="A317" s="2"/>
      <c r="B317" s="22"/>
      <c r="C317" s="2"/>
      <c r="D317" s="13"/>
      <c r="E317" s="3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</row>
    <row r="318" ht="13.5" customHeight="1">
      <c r="A318" s="2"/>
      <c r="B318" s="22"/>
      <c r="C318" s="2"/>
      <c r="D318" s="13"/>
      <c r="E318" s="3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</row>
    <row r="319" ht="13.5" customHeight="1">
      <c r="A319" s="2"/>
      <c r="B319" s="22"/>
      <c r="C319" s="2"/>
      <c r="D319" s="13"/>
      <c r="E319" s="3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</row>
    <row r="320" ht="13.5" customHeight="1">
      <c r="A320" s="2"/>
      <c r="B320" s="22"/>
      <c r="C320" s="2"/>
      <c r="D320" s="13"/>
      <c r="E320" s="3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</row>
    <row r="321" ht="13.5" customHeight="1">
      <c r="A321" s="2"/>
      <c r="B321" s="22"/>
      <c r="C321" s="2"/>
      <c r="D321" s="13"/>
      <c r="E321" s="3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</row>
    <row r="322" ht="13.5" customHeight="1">
      <c r="A322" s="2"/>
      <c r="B322" s="22"/>
      <c r="C322" s="2"/>
      <c r="D322" s="13"/>
      <c r="E322" s="3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</row>
    <row r="323" ht="13.5" customHeight="1">
      <c r="A323" s="2"/>
      <c r="B323" s="22"/>
      <c r="C323" s="2"/>
      <c r="D323" s="13"/>
      <c r="E323" s="3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</row>
    <row r="324" ht="13.5" customHeight="1">
      <c r="A324" s="2"/>
      <c r="B324" s="22"/>
      <c r="C324" s="2"/>
      <c r="D324" s="13"/>
      <c r="E324" s="3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</row>
    <row r="325" ht="13.5" customHeight="1">
      <c r="A325" s="2"/>
      <c r="B325" s="22"/>
      <c r="C325" s="2"/>
      <c r="D325" s="13"/>
      <c r="E325" s="3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</row>
    <row r="326" ht="13.5" customHeight="1">
      <c r="A326" s="2"/>
      <c r="B326" s="22"/>
      <c r="C326" s="2"/>
      <c r="D326" s="13"/>
      <c r="E326" s="3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</row>
    <row r="327" ht="13.5" customHeight="1">
      <c r="A327" s="2"/>
      <c r="B327" s="22"/>
      <c r="C327" s="2"/>
      <c r="D327" s="13"/>
      <c r="E327" s="3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</row>
    <row r="328" ht="13.5" customHeight="1">
      <c r="A328" s="2"/>
      <c r="B328" s="22"/>
      <c r="C328" s="2"/>
      <c r="D328" s="13"/>
      <c r="E328" s="3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</row>
    <row r="329" ht="13.5" customHeight="1">
      <c r="A329" s="2"/>
      <c r="B329" s="22"/>
      <c r="C329" s="2"/>
      <c r="D329" s="13"/>
      <c r="E329" s="3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</row>
    <row r="330" ht="13.5" customHeight="1">
      <c r="A330" s="2"/>
      <c r="B330" s="22"/>
      <c r="C330" s="2"/>
      <c r="D330" s="13"/>
      <c r="E330" s="3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</row>
    <row r="331" ht="13.5" customHeight="1">
      <c r="A331" s="2"/>
      <c r="B331" s="22"/>
      <c r="C331" s="2"/>
      <c r="D331" s="13"/>
      <c r="E331" s="3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</row>
    <row r="332" ht="13.5" customHeight="1">
      <c r="A332" s="2"/>
      <c r="B332" s="22"/>
      <c r="C332" s="2"/>
      <c r="D332" s="13"/>
      <c r="E332" s="3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</row>
    <row r="333" ht="13.5" customHeight="1">
      <c r="A333" s="2"/>
      <c r="B333" s="22"/>
      <c r="C333" s="2"/>
      <c r="D333" s="13"/>
      <c r="E333" s="3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</row>
    <row r="334" ht="13.5" customHeight="1">
      <c r="A334" s="2"/>
      <c r="B334" s="22"/>
      <c r="C334" s="2"/>
      <c r="D334" s="13"/>
      <c r="E334" s="3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</row>
    <row r="335" ht="13.5" customHeight="1">
      <c r="A335" s="2"/>
      <c r="B335" s="22"/>
      <c r="C335" s="2"/>
      <c r="D335" s="13"/>
      <c r="E335" s="3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</row>
    <row r="336" ht="13.5" customHeight="1">
      <c r="A336" s="2"/>
      <c r="B336" s="22"/>
      <c r="C336" s="2"/>
      <c r="D336" s="13"/>
      <c r="E336" s="3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</row>
    <row r="337" ht="13.5" customHeight="1">
      <c r="A337" s="2"/>
      <c r="B337" s="22"/>
      <c r="C337" s="2"/>
      <c r="D337" s="13"/>
      <c r="E337" s="3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</row>
    <row r="338" ht="13.5" customHeight="1">
      <c r="A338" s="2"/>
      <c r="B338" s="22"/>
      <c r="C338" s="2"/>
      <c r="D338" s="13"/>
      <c r="E338" s="3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</row>
    <row r="339" ht="13.5" customHeight="1">
      <c r="A339" s="2"/>
      <c r="B339" s="22"/>
      <c r="C339" s="2"/>
      <c r="D339" s="13"/>
      <c r="E339" s="3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</row>
    <row r="340" ht="13.5" customHeight="1">
      <c r="A340" s="2"/>
      <c r="B340" s="22"/>
      <c r="C340" s="2"/>
      <c r="D340" s="13"/>
      <c r="E340" s="3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</row>
    <row r="341" ht="13.5" customHeight="1">
      <c r="A341" s="2"/>
      <c r="B341" s="22"/>
      <c r="C341" s="2"/>
      <c r="D341" s="13"/>
      <c r="E341" s="3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</row>
    <row r="342" ht="13.5" customHeight="1">
      <c r="A342" s="2"/>
      <c r="B342" s="22"/>
      <c r="C342" s="2"/>
      <c r="D342" s="13"/>
      <c r="E342" s="3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</row>
    <row r="343" ht="13.5" customHeight="1">
      <c r="A343" s="2"/>
      <c r="B343" s="22"/>
      <c r="C343" s="2"/>
      <c r="D343" s="13"/>
      <c r="E343" s="3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</row>
    <row r="344" ht="13.5" customHeight="1">
      <c r="A344" s="2"/>
      <c r="B344" s="22"/>
      <c r="C344" s="2"/>
      <c r="D344" s="13"/>
      <c r="E344" s="3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</row>
    <row r="345" ht="13.5" customHeight="1">
      <c r="A345" s="2"/>
      <c r="B345" s="22"/>
      <c r="C345" s="2"/>
      <c r="D345" s="13"/>
      <c r="E345" s="3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</row>
    <row r="346" ht="13.5" customHeight="1">
      <c r="A346" s="2"/>
      <c r="B346" s="22"/>
      <c r="C346" s="2"/>
      <c r="D346" s="13"/>
      <c r="E346" s="3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</row>
    <row r="347" ht="13.5" customHeight="1">
      <c r="A347" s="2"/>
      <c r="B347" s="22"/>
      <c r="C347" s="2"/>
      <c r="D347" s="13"/>
      <c r="E347" s="3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</row>
    <row r="348" ht="13.5" customHeight="1">
      <c r="A348" s="2"/>
      <c r="B348" s="22"/>
      <c r="C348" s="2"/>
      <c r="D348" s="13"/>
      <c r="E348" s="3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</row>
    <row r="349" ht="13.5" customHeight="1">
      <c r="A349" s="2"/>
      <c r="B349" s="22"/>
      <c r="C349" s="2"/>
      <c r="D349" s="13"/>
      <c r="E349" s="3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</row>
    <row r="350" ht="13.5" customHeight="1">
      <c r="A350" s="2"/>
      <c r="B350" s="22"/>
      <c r="C350" s="2"/>
      <c r="D350" s="13"/>
      <c r="E350" s="3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</row>
    <row r="351" ht="13.5" customHeight="1">
      <c r="A351" s="2"/>
      <c r="B351" s="22"/>
      <c r="C351" s="2"/>
      <c r="D351" s="13"/>
      <c r="E351" s="3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</row>
    <row r="352" ht="13.5" customHeight="1">
      <c r="A352" s="2"/>
      <c r="B352" s="22"/>
      <c r="C352" s="2"/>
      <c r="D352" s="13"/>
      <c r="E352" s="3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</row>
    <row r="353" ht="13.5" customHeight="1">
      <c r="A353" s="2"/>
      <c r="B353" s="22"/>
      <c r="C353" s="2"/>
      <c r="D353" s="13"/>
      <c r="E353" s="3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</row>
    <row r="354" ht="13.5" customHeight="1">
      <c r="A354" s="2"/>
      <c r="B354" s="22"/>
      <c r="C354" s="2"/>
      <c r="D354" s="13"/>
      <c r="E354" s="3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</row>
    <row r="355" ht="13.5" customHeight="1">
      <c r="A355" s="2"/>
      <c r="B355" s="22"/>
      <c r="C355" s="2"/>
      <c r="D355" s="13"/>
      <c r="E355" s="3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</row>
    <row r="356" ht="13.5" customHeight="1">
      <c r="A356" s="2"/>
      <c r="B356" s="22"/>
      <c r="C356" s="2"/>
      <c r="D356" s="13"/>
      <c r="E356" s="3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</row>
    <row r="357" ht="13.5" customHeight="1">
      <c r="A357" s="2"/>
      <c r="B357" s="22"/>
      <c r="C357" s="2"/>
      <c r="D357" s="13"/>
      <c r="E357" s="3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</row>
    <row r="358" ht="13.5" customHeight="1">
      <c r="A358" s="2"/>
      <c r="B358" s="22"/>
      <c r="C358" s="2"/>
      <c r="D358" s="13"/>
      <c r="E358" s="3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</row>
    <row r="359" ht="13.5" customHeight="1">
      <c r="A359" s="2"/>
      <c r="B359" s="22"/>
      <c r="C359" s="2"/>
      <c r="D359" s="13"/>
      <c r="E359" s="3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</row>
    <row r="360" ht="13.5" customHeight="1">
      <c r="A360" s="2"/>
      <c r="B360" s="22"/>
      <c r="C360" s="2"/>
      <c r="D360" s="13"/>
      <c r="E360" s="3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</row>
    <row r="361" ht="13.5" customHeight="1">
      <c r="A361" s="2"/>
      <c r="B361" s="22"/>
      <c r="C361" s="2"/>
      <c r="D361" s="13"/>
      <c r="E361" s="3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</row>
    <row r="362" ht="13.5" customHeight="1">
      <c r="A362" s="2"/>
      <c r="B362" s="22"/>
      <c r="C362" s="2"/>
      <c r="D362" s="13"/>
      <c r="E362" s="3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</row>
    <row r="363" ht="13.5" customHeight="1">
      <c r="A363" s="2"/>
      <c r="B363" s="22"/>
      <c r="C363" s="2"/>
      <c r="D363" s="13"/>
      <c r="E363" s="3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</row>
    <row r="364" ht="13.5" customHeight="1">
      <c r="A364" s="2"/>
      <c r="B364" s="22"/>
      <c r="C364" s="2"/>
      <c r="D364" s="13"/>
      <c r="E364" s="3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</row>
    <row r="365" ht="13.5" customHeight="1">
      <c r="A365" s="2"/>
      <c r="B365" s="22"/>
      <c r="C365" s="2"/>
      <c r="D365" s="13"/>
      <c r="E365" s="3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</row>
    <row r="366" ht="13.5" customHeight="1">
      <c r="A366" s="2"/>
      <c r="B366" s="22"/>
      <c r="C366" s="2"/>
      <c r="D366" s="13"/>
      <c r="E366" s="3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</row>
    <row r="367" ht="13.5" customHeight="1">
      <c r="A367" s="2"/>
      <c r="B367" s="22"/>
      <c r="C367" s="2"/>
      <c r="D367" s="13"/>
      <c r="E367" s="3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</row>
    <row r="368" ht="13.5" customHeight="1">
      <c r="A368" s="2"/>
      <c r="B368" s="22"/>
      <c r="C368" s="2"/>
      <c r="D368" s="13"/>
      <c r="E368" s="3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</row>
    <row r="369" ht="13.5" customHeight="1">
      <c r="A369" s="2"/>
      <c r="B369" s="22"/>
      <c r="C369" s="2"/>
      <c r="D369" s="13"/>
      <c r="E369" s="3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</row>
    <row r="370" ht="13.5" customHeight="1">
      <c r="A370" s="2"/>
      <c r="B370" s="22"/>
      <c r="C370" s="2"/>
      <c r="D370" s="13"/>
      <c r="E370" s="3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</row>
    <row r="371" ht="13.5" customHeight="1">
      <c r="A371" s="2"/>
      <c r="B371" s="22"/>
      <c r="C371" s="2"/>
      <c r="D371" s="13"/>
      <c r="E371" s="3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</row>
    <row r="372" ht="13.5" customHeight="1">
      <c r="A372" s="2"/>
      <c r="B372" s="22"/>
      <c r="C372" s="2"/>
      <c r="D372" s="13"/>
      <c r="E372" s="3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</row>
    <row r="373" ht="13.5" customHeight="1">
      <c r="A373" s="2"/>
      <c r="B373" s="22"/>
      <c r="C373" s="2"/>
      <c r="D373" s="13"/>
      <c r="E373" s="3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</row>
    <row r="374" ht="13.5" customHeight="1">
      <c r="A374" s="2"/>
      <c r="B374" s="22"/>
      <c r="C374" s="2"/>
      <c r="D374" s="13"/>
      <c r="E374" s="3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</row>
    <row r="375" ht="13.5" customHeight="1">
      <c r="A375" s="2"/>
      <c r="B375" s="22"/>
      <c r="C375" s="2"/>
      <c r="D375" s="13"/>
      <c r="E375" s="3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</row>
    <row r="376" ht="13.5" customHeight="1">
      <c r="A376" s="2"/>
      <c r="B376" s="22"/>
      <c r="C376" s="2"/>
      <c r="D376" s="13"/>
      <c r="E376" s="3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</row>
    <row r="377" ht="13.5" customHeight="1">
      <c r="A377" s="2"/>
      <c r="B377" s="22"/>
      <c r="C377" s="2"/>
      <c r="D377" s="13"/>
      <c r="E377" s="3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</row>
    <row r="378" ht="13.5" customHeight="1">
      <c r="A378" s="2"/>
      <c r="B378" s="22"/>
      <c r="C378" s="2"/>
      <c r="D378" s="13"/>
      <c r="E378" s="3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</row>
    <row r="379" ht="13.5" customHeight="1">
      <c r="A379" s="2"/>
      <c r="B379" s="22"/>
      <c r="C379" s="2"/>
      <c r="D379" s="13"/>
      <c r="E379" s="3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</row>
    <row r="380" ht="13.5" customHeight="1">
      <c r="A380" s="2"/>
      <c r="B380" s="22"/>
      <c r="C380" s="2"/>
      <c r="D380" s="13"/>
      <c r="E380" s="3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</row>
    <row r="381" ht="13.5" customHeight="1">
      <c r="A381" s="2"/>
      <c r="B381" s="22"/>
      <c r="C381" s="2"/>
      <c r="D381" s="13"/>
      <c r="E381" s="3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</row>
    <row r="382" ht="13.5" customHeight="1">
      <c r="A382" s="2"/>
      <c r="B382" s="22"/>
      <c r="C382" s="2"/>
      <c r="D382" s="13"/>
      <c r="E382" s="3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</row>
    <row r="383" ht="13.5" customHeight="1">
      <c r="A383" s="2"/>
      <c r="B383" s="22"/>
      <c r="C383" s="2"/>
      <c r="D383" s="13"/>
      <c r="E383" s="3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</row>
    <row r="384" ht="13.5" customHeight="1">
      <c r="A384" s="2"/>
      <c r="B384" s="22"/>
      <c r="C384" s="2"/>
      <c r="D384" s="13"/>
      <c r="E384" s="3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</row>
    <row r="385" ht="13.5" customHeight="1">
      <c r="A385" s="2"/>
      <c r="B385" s="22"/>
      <c r="C385" s="2"/>
      <c r="D385" s="13"/>
      <c r="E385" s="3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</row>
    <row r="386" ht="13.5" customHeight="1">
      <c r="A386" s="2"/>
      <c r="B386" s="22"/>
      <c r="C386" s="2"/>
      <c r="D386" s="13"/>
      <c r="E386" s="3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</row>
    <row r="387" ht="13.5" customHeight="1">
      <c r="A387" s="2"/>
      <c r="B387" s="22"/>
      <c r="C387" s="2"/>
      <c r="D387" s="13"/>
      <c r="E387" s="3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</row>
    <row r="388" ht="13.5" customHeight="1">
      <c r="A388" s="2"/>
      <c r="B388" s="22"/>
      <c r="C388" s="2"/>
      <c r="D388" s="13"/>
      <c r="E388" s="3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</row>
    <row r="389" ht="13.5" customHeight="1">
      <c r="A389" s="2"/>
      <c r="B389" s="22"/>
      <c r="C389" s="2"/>
      <c r="D389" s="13"/>
      <c r="E389" s="3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</row>
    <row r="390" ht="13.5" customHeight="1">
      <c r="A390" s="2"/>
      <c r="B390" s="22"/>
      <c r="C390" s="2"/>
      <c r="D390" s="13"/>
      <c r="E390" s="3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</row>
    <row r="391" ht="13.5" customHeight="1">
      <c r="A391" s="2"/>
      <c r="B391" s="22"/>
      <c r="C391" s="2"/>
      <c r="D391" s="13"/>
      <c r="E391" s="3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</row>
    <row r="392" ht="13.5" customHeight="1">
      <c r="A392" s="2"/>
      <c r="B392" s="22"/>
      <c r="C392" s="2"/>
      <c r="D392" s="13"/>
      <c r="E392" s="3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</row>
    <row r="393" ht="13.5" customHeight="1">
      <c r="A393" s="2"/>
      <c r="B393" s="22"/>
      <c r="C393" s="2"/>
      <c r="D393" s="13"/>
      <c r="E393" s="3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</row>
    <row r="394" ht="13.5" customHeight="1">
      <c r="A394" s="2"/>
      <c r="B394" s="22"/>
      <c r="C394" s="2"/>
      <c r="D394" s="13"/>
      <c r="E394" s="3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</row>
    <row r="395" ht="13.5" customHeight="1">
      <c r="A395" s="2"/>
      <c r="B395" s="22"/>
      <c r="C395" s="2"/>
      <c r="D395" s="13"/>
      <c r="E395" s="3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</row>
    <row r="396" ht="13.5" customHeight="1">
      <c r="A396" s="2"/>
      <c r="B396" s="22"/>
      <c r="C396" s="2"/>
      <c r="D396" s="13"/>
      <c r="E396" s="3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</row>
    <row r="397" ht="13.5" customHeight="1">
      <c r="A397" s="2"/>
      <c r="B397" s="22"/>
      <c r="C397" s="2"/>
      <c r="D397" s="13"/>
      <c r="E397" s="3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</row>
    <row r="398" ht="13.5" customHeight="1">
      <c r="A398" s="2"/>
      <c r="B398" s="22"/>
      <c r="C398" s="2"/>
      <c r="D398" s="13"/>
      <c r="E398" s="3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</row>
    <row r="399" ht="13.5" customHeight="1">
      <c r="A399" s="2"/>
      <c r="B399" s="22"/>
      <c r="C399" s="2"/>
      <c r="D399" s="13"/>
      <c r="E399" s="3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</row>
    <row r="400" ht="13.5" customHeight="1">
      <c r="A400" s="2"/>
      <c r="B400" s="22"/>
      <c r="C400" s="2"/>
      <c r="D400" s="13"/>
      <c r="E400" s="3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</row>
    <row r="401" ht="13.5" customHeight="1">
      <c r="A401" s="2"/>
      <c r="B401" s="22"/>
      <c r="C401" s="2"/>
      <c r="D401" s="13"/>
      <c r="E401" s="3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</row>
    <row r="402" ht="13.5" customHeight="1">
      <c r="A402" s="2"/>
      <c r="B402" s="22"/>
      <c r="C402" s="2"/>
      <c r="D402" s="13"/>
      <c r="E402" s="3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</row>
    <row r="403" ht="13.5" customHeight="1">
      <c r="A403" s="2"/>
      <c r="B403" s="22"/>
      <c r="C403" s="2"/>
      <c r="D403" s="13"/>
      <c r="E403" s="3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</row>
    <row r="404" ht="13.5" customHeight="1">
      <c r="A404" s="2"/>
      <c r="B404" s="22"/>
      <c r="C404" s="2"/>
      <c r="D404" s="13"/>
      <c r="E404" s="3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</row>
    <row r="405" ht="13.5" customHeight="1">
      <c r="A405" s="2"/>
      <c r="B405" s="22"/>
      <c r="C405" s="2"/>
      <c r="D405" s="13"/>
      <c r="E405" s="3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</row>
    <row r="406" ht="13.5" customHeight="1">
      <c r="A406" s="2"/>
      <c r="B406" s="22"/>
      <c r="C406" s="2"/>
      <c r="D406" s="13"/>
      <c r="E406" s="3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</row>
    <row r="407" ht="13.5" customHeight="1">
      <c r="A407" s="2"/>
      <c r="B407" s="22"/>
      <c r="C407" s="2"/>
      <c r="D407" s="13"/>
      <c r="E407" s="3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</row>
    <row r="408" ht="13.5" customHeight="1">
      <c r="A408" s="2"/>
      <c r="B408" s="22"/>
      <c r="C408" s="2"/>
      <c r="D408" s="13"/>
      <c r="E408" s="3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</row>
    <row r="409" ht="13.5" customHeight="1">
      <c r="A409" s="2"/>
      <c r="B409" s="22"/>
      <c r="C409" s="2"/>
      <c r="D409" s="13"/>
      <c r="E409" s="3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</row>
    <row r="410" ht="13.5" customHeight="1">
      <c r="A410" s="2"/>
      <c r="B410" s="22"/>
      <c r="C410" s="2"/>
      <c r="D410" s="13"/>
      <c r="E410" s="3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</row>
    <row r="411" ht="13.5" customHeight="1">
      <c r="A411" s="2"/>
      <c r="B411" s="22"/>
      <c r="C411" s="2"/>
      <c r="D411" s="13"/>
      <c r="E411" s="3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</row>
    <row r="412" ht="13.5" customHeight="1">
      <c r="A412" s="2"/>
      <c r="B412" s="22"/>
      <c r="C412" s="2"/>
      <c r="D412" s="13"/>
      <c r="E412" s="3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</row>
    <row r="413" ht="13.5" customHeight="1">
      <c r="A413" s="2"/>
      <c r="B413" s="22"/>
      <c r="C413" s="2"/>
      <c r="D413" s="13"/>
      <c r="E413" s="3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</row>
    <row r="414" ht="13.5" customHeight="1">
      <c r="A414" s="2"/>
      <c r="B414" s="22"/>
      <c r="C414" s="2"/>
      <c r="D414" s="13"/>
      <c r="E414" s="3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</row>
    <row r="415" ht="13.5" customHeight="1">
      <c r="A415" s="2"/>
      <c r="B415" s="22"/>
      <c r="C415" s="2"/>
      <c r="D415" s="13"/>
      <c r="E415" s="3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</row>
    <row r="416" ht="13.5" customHeight="1">
      <c r="A416" s="2"/>
      <c r="B416" s="22"/>
      <c r="C416" s="2"/>
      <c r="D416" s="13"/>
      <c r="E416" s="3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</row>
    <row r="417" ht="13.5" customHeight="1">
      <c r="A417" s="2"/>
      <c r="B417" s="22"/>
      <c r="C417" s="2"/>
      <c r="D417" s="13"/>
      <c r="E417" s="3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</row>
    <row r="418" ht="13.5" customHeight="1">
      <c r="A418" s="2"/>
      <c r="B418" s="22"/>
      <c r="C418" s="2"/>
      <c r="D418" s="13"/>
      <c r="E418" s="3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</row>
    <row r="419" ht="13.5" customHeight="1">
      <c r="A419" s="2"/>
      <c r="B419" s="22"/>
      <c r="C419" s="2"/>
      <c r="D419" s="13"/>
      <c r="E419" s="3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</row>
    <row r="420" ht="13.5" customHeight="1">
      <c r="A420" s="2"/>
      <c r="B420" s="22"/>
      <c r="C420" s="2"/>
      <c r="D420" s="13"/>
      <c r="E420" s="3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</row>
    <row r="421" ht="13.5" customHeight="1">
      <c r="A421" s="2"/>
      <c r="B421" s="22"/>
      <c r="C421" s="2"/>
      <c r="D421" s="13"/>
      <c r="E421" s="3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</row>
    <row r="422" ht="13.5" customHeight="1">
      <c r="A422" s="2"/>
      <c r="B422" s="22"/>
      <c r="C422" s="2"/>
      <c r="D422" s="13"/>
      <c r="E422" s="3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</row>
    <row r="423" ht="13.5" customHeight="1">
      <c r="A423" s="2"/>
      <c r="B423" s="22"/>
      <c r="C423" s="2"/>
      <c r="D423" s="13"/>
      <c r="E423" s="3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</row>
    <row r="424" ht="13.5" customHeight="1">
      <c r="A424" s="2"/>
      <c r="B424" s="22"/>
      <c r="C424" s="2"/>
      <c r="D424" s="13"/>
      <c r="E424" s="3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</row>
    <row r="425" ht="13.5" customHeight="1">
      <c r="A425" s="2"/>
      <c r="B425" s="22"/>
      <c r="C425" s="2"/>
      <c r="D425" s="13"/>
      <c r="E425" s="3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</row>
    <row r="426" ht="13.5" customHeight="1">
      <c r="A426" s="2"/>
      <c r="B426" s="22"/>
      <c r="C426" s="2"/>
      <c r="D426" s="13"/>
      <c r="E426" s="3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</row>
    <row r="427" ht="13.5" customHeight="1">
      <c r="A427" s="2"/>
      <c r="B427" s="22"/>
      <c r="C427" s="2"/>
      <c r="D427" s="13"/>
      <c r="E427" s="3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</row>
    <row r="428" ht="13.5" customHeight="1">
      <c r="A428" s="2"/>
      <c r="B428" s="22"/>
      <c r="C428" s="2"/>
      <c r="D428" s="13"/>
      <c r="E428" s="3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</row>
    <row r="429" ht="13.5" customHeight="1">
      <c r="A429" s="2"/>
      <c r="B429" s="22"/>
      <c r="C429" s="2"/>
      <c r="D429" s="13"/>
      <c r="E429" s="3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</row>
    <row r="430" ht="13.5" customHeight="1">
      <c r="A430" s="2"/>
      <c r="B430" s="22"/>
      <c r="C430" s="2"/>
      <c r="D430" s="13"/>
      <c r="E430" s="3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</row>
    <row r="431" ht="13.5" customHeight="1">
      <c r="A431" s="2"/>
      <c r="B431" s="22"/>
      <c r="C431" s="2"/>
      <c r="D431" s="13"/>
      <c r="E431" s="3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</row>
    <row r="432" ht="13.5" customHeight="1">
      <c r="A432" s="2"/>
      <c r="B432" s="22"/>
      <c r="C432" s="2"/>
      <c r="D432" s="13"/>
      <c r="E432" s="3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</row>
    <row r="433" ht="13.5" customHeight="1">
      <c r="A433" s="2"/>
      <c r="B433" s="22"/>
      <c r="C433" s="2"/>
      <c r="D433" s="13"/>
      <c r="E433" s="3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</row>
    <row r="434" ht="13.5" customHeight="1">
      <c r="A434" s="2"/>
      <c r="B434" s="22"/>
      <c r="C434" s="2"/>
      <c r="D434" s="13"/>
      <c r="E434" s="3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</row>
    <row r="435" ht="13.5" customHeight="1">
      <c r="A435" s="2"/>
      <c r="B435" s="22"/>
      <c r="C435" s="2"/>
      <c r="D435" s="13"/>
      <c r="E435" s="3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</row>
    <row r="436" ht="13.5" customHeight="1">
      <c r="A436" s="2"/>
      <c r="B436" s="22"/>
      <c r="C436" s="2"/>
      <c r="D436" s="13"/>
      <c r="E436" s="3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</row>
    <row r="437" ht="13.5" customHeight="1">
      <c r="A437" s="2"/>
      <c r="B437" s="22"/>
      <c r="C437" s="2"/>
      <c r="D437" s="13"/>
      <c r="E437" s="3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</row>
    <row r="438" ht="13.5" customHeight="1">
      <c r="A438" s="2"/>
      <c r="B438" s="22"/>
      <c r="C438" s="2"/>
      <c r="D438" s="13"/>
      <c r="E438" s="3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</row>
    <row r="439" ht="13.5" customHeight="1">
      <c r="A439" s="2"/>
      <c r="B439" s="22"/>
      <c r="C439" s="2"/>
      <c r="D439" s="13"/>
      <c r="E439" s="3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</row>
    <row r="440" ht="13.5" customHeight="1">
      <c r="A440" s="2"/>
      <c r="B440" s="22"/>
      <c r="C440" s="2"/>
      <c r="D440" s="13"/>
      <c r="E440" s="3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</row>
    <row r="441" ht="13.5" customHeight="1">
      <c r="A441" s="2"/>
      <c r="B441" s="22"/>
      <c r="C441" s="2"/>
      <c r="D441" s="13"/>
      <c r="E441" s="3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</row>
    <row r="442" ht="13.5" customHeight="1">
      <c r="A442" s="2"/>
      <c r="B442" s="22"/>
      <c r="C442" s="2"/>
      <c r="D442" s="13"/>
      <c r="E442" s="3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</row>
    <row r="443" ht="13.5" customHeight="1">
      <c r="A443" s="2"/>
      <c r="B443" s="22"/>
      <c r="C443" s="2"/>
      <c r="D443" s="13"/>
      <c r="E443" s="3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</row>
    <row r="444" ht="13.5" customHeight="1">
      <c r="A444" s="2"/>
      <c r="B444" s="22"/>
      <c r="C444" s="2"/>
      <c r="D444" s="13"/>
      <c r="E444" s="3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</row>
    <row r="445" ht="13.5" customHeight="1">
      <c r="A445" s="2"/>
      <c r="B445" s="22"/>
      <c r="C445" s="2"/>
      <c r="D445" s="13"/>
      <c r="E445" s="3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</row>
    <row r="446" ht="13.5" customHeight="1">
      <c r="A446" s="2"/>
      <c r="B446" s="22"/>
      <c r="C446" s="2"/>
      <c r="D446" s="13"/>
      <c r="E446" s="3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</row>
    <row r="447" ht="13.5" customHeight="1">
      <c r="A447" s="2"/>
      <c r="B447" s="22"/>
      <c r="C447" s="2"/>
      <c r="D447" s="13"/>
      <c r="E447" s="3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</row>
    <row r="448" ht="13.5" customHeight="1">
      <c r="A448" s="2"/>
      <c r="B448" s="22"/>
      <c r="C448" s="2"/>
      <c r="D448" s="13"/>
      <c r="E448" s="3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</row>
    <row r="449" ht="13.5" customHeight="1">
      <c r="A449" s="2"/>
      <c r="B449" s="22"/>
      <c r="C449" s="2"/>
      <c r="D449" s="13"/>
      <c r="E449" s="3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</row>
    <row r="450" ht="13.5" customHeight="1">
      <c r="A450" s="2"/>
      <c r="B450" s="22"/>
      <c r="C450" s="2"/>
      <c r="D450" s="13"/>
      <c r="E450" s="3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</row>
    <row r="451" ht="13.5" customHeight="1">
      <c r="A451" s="2"/>
      <c r="B451" s="22"/>
      <c r="C451" s="2"/>
      <c r="D451" s="13"/>
      <c r="E451" s="3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</row>
    <row r="452" ht="13.5" customHeight="1">
      <c r="A452" s="2"/>
      <c r="B452" s="22"/>
      <c r="C452" s="2"/>
      <c r="D452" s="13"/>
      <c r="E452" s="3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</row>
    <row r="453" ht="13.5" customHeight="1">
      <c r="A453" s="2"/>
      <c r="B453" s="22"/>
      <c r="C453" s="2"/>
      <c r="D453" s="13"/>
      <c r="E453" s="3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</row>
    <row r="454" ht="13.5" customHeight="1">
      <c r="A454" s="2"/>
      <c r="B454" s="22"/>
      <c r="C454" s="2"/>
      <c r="D454" s="13"/>
      <c r="E454" s="3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</row>
    <row r="455" ht="13.5" customHeight="1">
      <c r="A455" s="2"/>
      <c r="B455" s="22"/>
      <c r="C455" s="2"/>
      <c r="D455" s="13"/>
      <c r="E455" s="3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</row>
    <row r="456" ht="13.5" customHeight="1">
      <c r="A456" s="2"/>
      <c r="B456" s="22"/>
      <c r="C456" s="2"/>
      <c r="D456" s="13"/>
      <c r="E456" s="3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</row>
    <row r="457" ht="13.5" customHeight="1">
      <c r="A457" s="2"/>
      <c r="B457" s="22"/>
      <c r="C457" s="2"/>
      <c r="D457" s="13"/>
      <c r="E457" s="3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</row>
    <row r="458" ht="13.5" customHeight="1">
      <c r="A458" s="2"/>
      <c r="B458" s="22"/>
      <c r="C458" s="2"/>
      <c r="D458" s="13"/>
      <c r="E458" s="3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</row>
    <row r="459" ht="13.5" customHeight="1">
      <c r="A459" s="2"/>
      <c r="B459" s="22"/>
      <c r="C459" s="2"/>
      <c r="D459" s="13"/>
      <c r="E459" s="3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</row>
    <row r="460" ht="13.5" customHeight="1">
      <c r="A460" s="2"/>
      <c r="B460" s="22"/>
      <c r="C460" s="2"/>
      <c r="D460" s="13"/>
      <c r="E460" s="3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</row>
    <row r="461" ht="13.5" customHeight="1">
      <c r="A461" s="2"/>
      <c r="B461" s="22"/>
      <c r="C461" s="2"/>
      <c r="D461" s="13"/>
      <c r="E461" s="3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</row>
    <row r="462" ht="13.5" customHeight="1">
      <c r="A462" s="2"/>
      <c r="B462" s="22"/>
      <c r="C462" s="2"/>
      <c r="D462" s="13"/>
      <c r="E462" s="3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</row>
    <row r="463" ht="13.5" customHeight="1">
      <c r="A463" s="2"/>
      <c r="B463" s="22"/>
      <c r="C463" s="2"/>
      <c r="D463" s="13"/>
      <c r="E463" s="3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</row>
    <row r="464" ht="13.5" customHeight="1">
      <c r="A464" s="2"/>
      <c r="B464" s="22"/>
      <c r="C464" s="2"/>
      <c r="D464" s="13"/>
      <c r="E464" s="3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</row>
    <row r="465" ht="13.5" customHeight="1">
      <c r="A465" s="2"/>
      <c r="B465" s="22"/>
      <c r="C465" s="2"/>
      <c r="D465" s="13"/>
      <c r="E465" s="3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</row>
    <row r="466" ht="13.5" customHeight="1">
      <c r="A466" s="2"/>
      <c r="B466" s="22"/>
      <c r="C466" s="2"/>
      <c r="D466" s="13"/>
      <c r="E466" s="3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</row>
    <row r="467" ht="13.5" customHeight="1">
      <c r="A467" s="2"/>
      <c r="B467" s="22"/>
      <c r="C467" s="2"/>
      <c r="D467" s="13"/>
      <c r="E467" s="3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</row>
    <row r="468" ht="13.5" customHeight="1">
      <c r="A468" s="2"/>
      <c r="B468" s="22"/>
      <c r="C468" s="2"/>
      <c r="D468" s="13"/>
      <c r="E468" s="3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</row>
    <row r="469" ht="13.5" customHeight="1">
      <c r="A469" s="2"/>
      <c r="B469" s="22"/>
      <c r="C469" s="2"/>
      <c r="D469" s="13"/>
      <c r="E469" s="3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</row>
    <row r="470" ht="13.5" customHeight="1">
      <c r="A470" s="2"/>
      <c r="B470" s="22"/>
      <c r="C470" s="2"/>
      <c r="D470" s="13"/>
      <c r="E470" s="3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</row>
    <row r="471" ht="13.5" customHeight="1">
      <c r="A471" s="2"/>
      <c r="B471" s="22"/>
      <c r="C471" s="2"/>
      <c r="D471" s="13"/>
      <c r="E471" s="3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</row>
    <row r="472" ht="13.5" customHeight="1">
      <c r="A472" s="2"/>
      <c r="B472" s="22"/>
      <c r="C472" s="2"/>
      <c r="D472" s="13"/>
      <c r="E472" s="3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</row>
    <row r="473" ht="13.5" customHeight="1">
      <c r="A473" s="2"/>
      <c r="B473" s="22"/>
      <c r="C473" s="2"/>
      <c r="D473" s="13"/>
      <c r="E473" s="3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</row>
    <row r="474" ht="13.5" customHeight="1">
      <c r="A474" s="2"/>
      <c r="B474" s="22"/>
      <c r="C474" s="2"/>
      <c r="D474" s="13"/>
      <c r="E474" s="3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</row>
    <row r="475" ht="13.5" customHeight="1">
      <c r="A475" s="2"/>
      <c r="B475" s="22"/>
      <c r="C475" s="2"/>
      <c r="D475" s="13"/>
      <c r="E475" s="3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</row>
    <row r="476" ht="13.5" customHeight="1">
      <c r="A476" s="2"/>
      <c r="B476" s="22"/>
      <c r="C476" s="2"/>
      <c r="D476" s="13"/>
      <c r="E476" s="3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</row>
    <row r="477" ht="13.5" customHeight="1">
      <c r="A477" s="2"/>
      <c r="B477" s="22"/>
      <c r="C477" s="2"/>
      <c r="D477" s="13"/>
      <c r="E477" s="3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</row>
    <row r="478" ht="13.5" customHeight="1">
      <c r="A478" s="2"/>
      <c r="B478" s="22"/>
      <c r="C478" s="2"/>
      <c r="D478" s="13"/>
      <c r="E478" s="3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</row>
    <row r="479" ht="13.5" customHeight="1">
      <c r="A479" s="2"/>
      <c r="B479" s="22"/>
      <c r="C479" s="2"/>
      <c r="D479" s="13"/>
      <c r="E479" s="3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</row>
    <row r="480" ht="13.5" customHeight="1">
      <c r="A480" s="2"/>
      <c r="B480" s="22"/>
      <c r="C480" s="2"/>
      <c r="D480" s="13"/>
      <c r="E480" s="3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</row>
    <row r="481" ht="13.5" customHeight="1">
      <c r="A481" s="2"/>
      <c r="B481" s="22"/>
      <c r="C481" s="2"/>
      <c r="D481" s="13"/>
      <c r="E481" s="3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</row>
    <row r="482" ht="13.5" customHeight="1">
      <c r="A482" s="2"/>
      <c r="B482" s="22"/>
      <c r="C482" s="2"/>
      <c r="D482" s="13"/>
      <c r="E482" s="3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</row>
    <row r="483" ht="13.5" customHeight="1">
      <c r="A483" s="2"/>
      <c r="B483" s="22"/>
      <c r="C483" s="2"/>
      <c r="D483" s="13"/>
      <c r="E483" s="3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</row>
    <row r="484" ht="13.5" customHeight="1">
      <c r="A484" s="2"/>
      <c r="B484" s="22"/>
      <c r="C484" s="2"/>
      <c r="D484" s="13"/>
      <c r="E484" s="3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</row>
    <row r="485" ht="13.5" customHeight="1">
      <c r="A485" s="2"/>
      <c r="B485" s="22"/>
      <c r="C485" s="2"/>
      <c r="D485" s="13"/>
      <c r="E485" s="3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</row>
    <row r="486" ht="13.5" customHeight="1">
      <c r="A486" s="2"/>
      <c r="B486" s="22"/>
      <c r="C486" s="2"/>
      <c r="D486" s="13"/>
      <c r="E486" s="3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</row>
    <row r="487" ht="13.5" customHeight="1">
      <c r="A487" s="2"/>
      <c r="B487" s="22"/>
      <c r="C487" s="2"/>
      <c r="D487" s="13"/>
      <c r="E487" s="3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</row>
    <row r="488" ht="13.5" customHeight="1">
      <c r="A488" s="2"/>
      <c r="B488" s="22"/>
      <c r="C488" s="2"/>
      <c r="D488" s="13"/>
      <c r="E488" s="3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</row>
    <row r="489" ht="13.5" customHeight="1">
      <c r="A489" s="2"/>
      <c r="B489" s="22"/>
      <c r="C489" s="2"/>
      <c r="D489" s="13"/>
      <c r="E489" s="3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</row>
    <row r="490" ht="13.5" customHeight="1">
      <c r="A490" s="2"/>
      <c r="B490" s="22"/>
      <c r="C490" s="2"/>
      <c r="D490" s="13"/>
      <c r="E490" s="3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</row>
    <row r="491" ht="13.5" customHeight="1">
      <c r="A491" s="2"/>
      <c r="B491" s="22"/>
      <c r="C491" s="2"/>
      <c r="D491" s="13"/>
      <c r="E491" s="3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</row>
    <row r="492" ht="13.5" customHeight="1">
      <c r="A492" s="2"/>
      <c r="B492" s="22"/>
      <c r="C492" s="2"/>
      <c r="D492" s="13"/>
      <c r="E492" s="3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</row>
    <row r="493" ht="13.5" customHeight="1">
      <c r="A493" s="2"/>
      <c r="B493" s="22"/>
      <c r="C493" s="2"/>
      <c r="D493" s="13"/>
      <c r="E493" s="3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</row>
    <row r="494" ht="13.5" customHeight="1">
      <c r="A494" s="2"/>
      <c r="B494" s="22"/>
      <c r="C494" s="2"/>
      <c r="D494" s="13"/>
      <c r="E494" s="3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</row>
    <row r="495" ht="13.5" customHeight="1">
      <c r="A495" s="2"/>
      <c r="B495" s="22"/>
      <c r="C495" s="2"/>
      <c r="D495" s="13"/>
      <c r="E495" s="3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</row>
    <row r="496" ht="13.5" customHeight="1">
      <c r="A496" s="2"/>
      <c r="B496" s="22"/>
      <c r="C496" s="2"/>
      <c r="D496" s="13"/>
      <c r="E496" s="3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</row>
    <row r="497" ht="13.5" customHeight="1">
      <c r="A497" s="2"/>
      <c r="B497" s="22"/>
      <c r="C497" s="2"/>
      <c r="D497" s="13"/>
      <c r="E497" s="3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</row>
    <row r="498" ht="13.5" customHeight="1">
      <c r="A498" s="2"/>
      <c r="B498" s="22"/>
      <c r="C498" s="2"/>
      <c r="D498" s="13"/>
      <c r="E498" s="3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</row>
    <row r="499" ht="13.5" customHeight="1">
      <c r="A499" s="2"/>
      <c r="B499" s="22"/>
      <c r="C499" s="2"/>
      <c r="D499" s="13"/>
      <c r="E499" s="3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</row>
    <row r="500" ht="13.5" customHeight="1">
      <c r="A500" s="2"/>
      <c r="B500" s="22"/>
      <c r="C500" s="2"/>
      <c r="D500" s="13"/>
      <c r="E500" s="3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</row>
    <row r="501" ht="13.5" customHeight="1">
      <c r="A501" s="2"/>
      <c r="B501" s="22"/>
      <c r="C501" s="2"/>
      <c r="D501" s="13"/>
      <c r="E501" s="3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</row>
    <row r="502" ht="13.5" customHeight="1">
      <c r="A502" s="2"/>
      <c r="B502" s="22"/>
      <c r="C502" s="2"/>
      <c r="D502" s="13"/>
      <c r="E502" s="3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</row>
    <row r="503" ht="13.5" customHeight="1">
      <c r="A503" s="2"/>
      <c r="B503" s="22"/>
      <c r="C503" s="2"/>
      <c r="D503" s="13"/>
      <c r="E503" s="3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</row>
    <row r="504" ht="13.5" customHeight="1">
      <c r="A504" s="2"/>
      <c r="B504" s="22"/>
      <c r="C504" s="2"/>
      <c r="D504" s="13"/>
      <c r="E504" s="3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</row>
    <row r="505" ht="13.5" customHeight="1">
      <c r="A505" s="2"/>
      <c r="B505" s="22"/>
      <c r="C505" s="2"/>
      <c r="D505" s="13"/>
      <c r="E505" s="3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</row>
    <row r="506" ht="13.5" customHeight="1">
      <c r="A506" s="2"/>
      <c r="B506" s="22"/>
      <c r="C506" s="2"/>
      <c r="D506" s="13"/>
      <c r="E506" s="3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</row>
    <row r="507" ht="13.5" customHeight="1">
      <c r="A507" s="2"/>
      <c r="B507" s="22"/>
      <c r="C507" s="2"/>
      <c r="D507" s="13"/>
      <c r="E507" s="3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</row>
    <row r="508" ht="13.5" customHeight="1">
      <c r="A508" s="2"/>
      <c r="B508" s="22"/>
      <c r="C508" s="2"/>
      <c r="D508" s="13"/>
      <c r="E508" s="3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</row>
    <row r="509" ht="13.5" customHeight="1">
      <c r="A509" s="2"/>
      <c r="B509" s="22"/>
      <c r="C509" s="2"/>
      <c r="D509" s="13"/>
      <c r="E509" s="3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</row>
    <row r="510" ht="13.5" customHeight="1">
      <c r="A510" s="2"/>
      <c r="B510" s="22"/>
      <c r="C510" s="2"/>
      <c r="D510" s="13"/>
      <c r="E510" s="3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</row>
    <row r="511" ht="13.5" customHeight="1">
      <c r="A511" s="2"/>
      <c r="B511" s="22"/>
      <c r="C511" s="2"/>
      <c r="D511" s="13"/>
      <c r="E511" s="3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</row>
    <row r="512" ht="13.5" customHeight="1">
      <c r="A512" s="2"/>
      <c r="B512" s="22"/>
      <c r="C512" s="2"/>
      <c r="D512" s="13"/>
      <c r="E512" s="3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</row>
    <row r="513" ht="13.5" customHeight="1">
      <c r="A513" s="2"/>
      <c r="B513" s="22"/>
      <c r="C513" s="2"/>
      <c r="D513" s="13"/>
      <c r="E513" s="3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</row>
    <row r="514" ht="13.5" customHeight="1">
      <c r="A514" s="2"/>
      <c r="B514" s="22"/>
      <c r="C514" s="2"/>
      <c r="D514" s="13"/>
      <c r="E514" s="3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</row>
    <row r="515" ht="13.5" customHeight="1">
      <c r="A515" s="2"/>
      <c r="B515" s="22"/>
      <c r="C515" s="2"/>
      <c r="D515" s="13"/>
      <c r="E515" s="3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</row>
    <row r="516" ht="13.5" customHeight="1">
      <c r="A516" s="2"/>
      <c r="B516" s="22"/>
      <c r="C516" s="2"/>
      <c r="D516" s="13"/>
      <c r="E516" s="3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</row>
    <row r="517" ht="13.5" customHeight="1">
      <c r="A517" s="2"/>
      <c r="B517" s="22"/>
      <c r="C517" s="2"/>
      <c r="D517" s="13"/>
      <c r="E517" s="3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</row>
    <row r="518" ht="13.5" customHeight="1">
      <c r="A518" s="2"/>
      <c r="B518" s="22"/>
      <c r="C518" s="2"/>
      <c r="D518" s="13"/>
      <c r="E518" s="3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</row>
    <row r="519" ht="13.5" customHeight="1">
      <c r="A519" s="2"/>
      <c r="B519" s="22"/>
      <c r="C519" s="2"/>
      <c r="D519" s="13"/>
      <c r="E519" s="3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</row>
    <row r="520" ht="13.5" customHeight="1">
      <c r="A520" s="2"/>
      <c r="B520" s="22"/>
      <c r="C520" s="2"/>
      <c r="D520" s="13"/>
      <c r="E520" s="3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</row>
    <row r="521" ht="13.5" customHeight="1">
      <c r="A521" s="2"/>
      <c r="B521" s="22"/>
      <c r="C521" s="2"/>
      <c r="D521" s="13"/>
      <c r="E521" s="3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</row>
    <row r="522" ht="13.5" customHeight="1">
      <c r="A522" s="2"/>
      <c r="B522" s="22"/>
      <c r="C522" s="2"/>
      <c r="D522" s="13"/>
      <c r="E522" s="3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</row>
    <row r="523" ht="13.5" customHeight="1">
      <c r="A523" s="2"/>
      <c r="B523" s="22"/>
      <c r="C523" s="2"/>
      <c r="D523" s="13"/>
      <c r="E523" s="3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</row>
    <row r="524" ht="13.5" customHeight="1">
      <c r="A524" s="2"/>
      <c r="B524" s="22"/>
      <c r="C524" s="2"/>
      <c r="D524" s="13"/>
      <c r="E524" s="3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</row>
    <row r="525" ht="13.5" customHeight="1">
      <c r="A525" s="2"/>
      <c r="B525" s="22"/>
      <c r="C525" s="2"/>
      <c r="D525" s="13"/>
      <c r="E525" s="3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</row>
    <row r="526" ht="13.5" customHeight="1">
      <c r="A526" s="2"/>
      <c r="B526" s="22"/>
      <c r="C526" s="2"/>
      <c r="D526" s="13"/>
      <c r="E526" s="3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</row>
    <row r="527" ht="13.5" customHeight="1">
      <c r="A527" s="2"/>
      <c r="B527" s="22"/>
      <c r="C527" s="2"/>
      <c r="D527" s="13"/>
      <c r="E527" s="3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</row>
    <row r="528" ht="13.5" customHeight="1">
      <c r="A528" s="2"/>
      <c r="B528" s="22"/>
      <c r="C528" s="2"/>
      <c r="D528" s="13"/>
      <c r="E528" s="3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</row>
    <row r="529" ht="13.5" customHeight="1">
      <c r="A529" s="2"/>
      <c r="B529" s="22"/>
      <c r="C529" s="2"/>
      <c r="D529" s="13"/>
      <c r="E529" s="3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</row>
    <row r="530" ht="13.5" customHeight="1">
      <c r="A530" s="2"/>
      <c r="B530" s="22"/>
      <c r="C530" s="2"/>
      <c r="D530" s="13"/>
      <c r="E530" s="3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</row>
    <row r="531" ht="13.5" customHeight="1">
      <c r="A531" s="2"/>
      <c r="B531" s="22"/>
      <c r="C531" s="2"/>
      <c r="D531" s="13"/>
      <c r="E531" s="3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</row>
    <row r="532" ht="13.5" customHeight="1">
      <c r="A532" s="2"/>
      <c r="B532" s="22"/>
      <c r="C532" s="2"/>
      <c r="D532" s="13"/>
      <c r="E532" s="3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</row>
    <row r="533" ht="13.5" customHeight="1">
      <c r="A533" s="2"/>
      <c r="B533" s="22"/>
      <c r="C533" s="2"/>
      <c r="D533" s="13"/>
      <c r="E533" s="3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</row>
    <row r="534" ht="13.5" customHeight="1">
      <c r="A534" s="2"/>
      <c r="B534" s="22"/>
      <c r="C534" s="2"/>
      <c r="D534" s="13"/>
      <c r="E534" s="3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</row>
    <row r="535" ht="13.5" customHeight="1">
      <c r="A535" s="2"/>
      <c r="B535" s="22"/>
      <c r="C535" s="2"/>
      <c r="D535" s="13"/>
      <c r="E535" s="3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</row>
    <row r="536" ht="13.5" customHeight="1">
      <c r="A536" s="2"/>
      <c r="B536" s="22"/>
      <c r="C536" s="2"/>
      <c r="D536" s="13"/>
      <c r="E536" s="3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</row>
    <row r="537" ht="13.5" customHeight="1">
      <c r="A537" s="2"/>
      <c r="B537" s="22"/>
      <c r="C537" s="2"/>
      <c r="D537" s="13"/>
      <c r="E537" s="3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</row>
    <row r="538" ht="13.5" customHeight="1">
      <c r="A538" s="2"/>
      <c r="B538" s="22"/>
      <c r="C538" s="2"/>
      <c r="D538" s="13"/>
      <c r="E538" s="3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</row>
    <row r="539" ht="13.5" customHeight="1">
      <c r="A539" s="2"/>
      <c r="B539" s="22"/>
      <c r="C539" s="2"/>
      <c r="D539" s="13"/>
      <c r="E539" s="3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</row>
    <row r="540" ht="13.5" customHeight="1">
      <c r="A540" s="2"/>
      <c r="B540" s="22"/>
      <c r="C540" s="2"/>
      <c r="D540" s="13"/>
      <c r="E540" s="3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</row>
    <row r="541" ht="13.5" customHeight="1">
      <c r="A541" s="2"/>
      <c r="B541" s="22"/>
      <c r="C541" s="2"/>
      <c r="D541" s="13"/>
      <c r="E541" s="3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</row>
    <row r="542" ht="13.5" customHeight="1">
      <c r="A542" s="2"/>
      <c r="B542" s="22"/>
      <c r="C542" s="2"/>
      <c r="D542" s="13"/>
      <c r="E542" s="3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</row>
    <row r="543" ht="13.5" customHeight="1">
      <c r="A543" s="2"/>
      <c r="B543" s="22"/>
      <c r="C543" s="2"/>
      <c r="D543" s="13"/>
      <c r="E543" s="3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</row>
    <row r="544" ht="13.5" customHeight="1">
      <c r="A544" s="2"/>
      <c r="B544" s="22"/>
      <c r="C544" s="2"/>
      <c r="D544" s="13"/>
      <c r="E544" s="3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</row>
    <row r="545" ht="13.5" customHeight="1">
      <c r="A545" s="2"/>
      <c r="B545" s="22"/>
      <c r="C545" s="2"/>
      <c r="D545" s="13"/>
      <c r="E545" s="3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</row>
    <row r="546" ht="13.5" customHeight="1">
      <c r="A546" s="2"/>
      <c r="B546" s="22"/>
      <c r="C546" s="2"/>
      <c r="D546" s="13"/>
      <c r="E546" s="3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</row>
    <row r="547" ht="13.5" customHeight="1">
      <c r="A547" s="2"/>
      <c r="B547" s="22"/>
      <c r="C547" s="2"/>
      <c r="D547" s="13"/>
      <c r="E547" s="3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</row>
    <row r="548" ht="13.5" customHeight="1">
      <c r="A548" s="2"/>
      <c r="B548" s="22"/>
      <c r="C548" s="2"/>
      <c r="D548" s="13"/>
      <c r="E548" s="3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</row>
    <row r="549" ht="13.5" customHeight="1">
      <c r="A549" s="2"/>
      <c r="B549" s="22"/>
      <c r="C549" s="2"/>
      <c r="D549" s="13"/>
      <c r="E549" s="3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</row>
    <row r="550" ht="13.5" customHeight="1">
      <c r="A550" s="2"/>
      <c r="B550" s="22"/>
      <c r="C550" s="2"/>
      <c r="D550" s="13"/>
      <c r="E550" s="3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</row>
    <row r="551" ht="13.5" customHeight="1">
      <c r="A551" s="2"/>
      <c r="B551" s="22"/>
      <c r="C551" s="2"/>
      <c r="D551" s="13"/>
      <c r="E551" s="3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</row>
    <row r="552" ht="13.5" customHeight="1">
      <c r="A552" s="2"/>
      <c r="B552" s="22"/>
      <c r="C552" s="2"/>
      <c r="D552" s="13"/>
      <c r="E552" s="3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</row>
    <row r="553" ht="13.5" customHeight="1">
      <c r="A553" s="2"/>
      <c r="B553" s="22"/>
      <c r="C553" s="2"/>
      <c r="D553" s="13"/>
      <c r="E553" s="3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</row>
    <row r="554" ht="13.5" customHeight="1">
      <c r="A554" s="2"/>
      <c r="B554" s="22"/>
      <c r="C554" s="2"/>
      <c r="D554" s="13"/>
      <c r="E554" s="3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</row>
    <row r="555" ht="13.5" customHeight="1">
      <c r="A555" s="2"/>
      <c r="B555" s="22"/>
      <c r="C555" s="2"/>
      <c r="D555" s="13"/>
      <c r="E555" s="3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</row>
    <row r="556" ht="13.5" customHeight="1">
      <c r="A556" s="2"/>
      <c r="B556" s="22"/>
      <c r="C556" s="2"/>
      <c r="D556" s="13"/>
      <c r="E556" s="3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</row>
    <row r="557" ht="13.5" customHeight="1">
      <c r="A557" s="2"/>
      <c r="B557" s="22"/>
      <c r="C557" s="2"/>
      <c r="D557" s="13"/>
      <c r="E557" s="3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</row>
    <row r="558" ht="13.5" customHeight="1">
      <c r="A558" s="2"/>
      <c r="B558" s="22"/>
      <c r="C558" s="2"/>
      <c r="D558" s="13"/>
      <c r="E558" s="3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</row>
    <row r="559" ht="13.5" customHeight="1">
      <c r="A559" s="2"/>
      <c r="B559" s="22"/>
      <c r="C559" s="2"/>
      <c r="D559" s="13"/>
      <c r="E559" s="3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</row>
    <row r="560" ht="13.5" customHeight="1">
      <c r="A560" s="2"/>
      <c r="B560" s="22"/>
      <c r="C560" s="2"/>
      <c r="D560" s="13"/>
      <c r="E560" s="3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</row>
    <row r="561" ht="13.5" customHeight="1">
      <c r="A561" s="2"/>
      <c r="B561" s="22"/>
      <c r="C561" s="2"/>
      <c r="D561" s="13"/>
      <c r="E561" s="3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</row>
    <row r="562" ht="13.5" customHeight="1">
      <c r="A562" s="2"/>
      <c r="B562" s="22"/>
      <c r="C562" s="2"/>
      <c r="D562" s="13"/>
      <c r="E562" s="3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</row>
    <row r="563" ht="13.5" customHeight="1">
      <c r="A563" s="2"/>
      <c r="B563" s="22"/>
      <c r="C563" s="2"/>
      <c r="D563" s="13"/>
      <c r="E563" s="3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</row>
    <row r="564" ht="13.5" customHeight="1">
      <c r="A564" s="2"/>
      <c r="B564" s="22"/>
      <c r="C564" s="2"/>
      <c r="D564" s="13"/>
      <c r="E564" s="3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</row>
    <row r="565" ht="13.5" customHeight="1">
      <c r="A565" s="2"/>
      <c r="B565" s="22"/>
      <c r="C565" s="2"/>
      <c r="D565" s="13"/>
      <c r="E565" s="3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</row>
    <row r="566" ht="13.5" customHeight="1">
      <c r="A566" s="2"/>
      <c r="B566" s="22"/>
      <c r="C566" s="2"/>
      <c r="D566" s="13"/>
      <c r="E566" s="3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</row>
    <row r="567" ht="13.5" customHeight="1">
      <c r="A567" s="2"/>
      <c r="B567" s="22"/>
      <c r="C567" s="2"/>
      <c r="D567" s="13"/>
      <c r="E567" s="3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</row>
    <row r="568" ht="13.5" customHeight="1">
      <c r="A568" s="2"/>
      <c r="B568" s="22"/>
      <c r="C568" s="2"/>
      <c r="D568" s="13"/>
      <c r="E568" s="3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</row>
    <row r="569" ht="13.5" customHeight="1">
      <c r="A569" s="2"/>
      <c r="B569" s="22"/>
      <c r="C569" s="2"/>
      <c r="D569" s="13"/>
      <c r="E569" s="3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</row>
    <row r="570" ht="13.5" customHeight="1">
      <c r="A570" s="2"/>
      <c r="B570" s="22"/>
      <c r="C570" s="2"/>
      <c r="D570" s="13"/>
      <c r="E570" s="3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</row>
    <row r="571" ht="13.5" customHeight="1">
      <c r="A571" s="2"/>
      <c r="B571" s="22"/>
      <c r="C571" s="2"/>
      <c r="D571" s="13"/>
      <c r="E571" s="3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</row>
    <row r="572" ht="13.5" customHeight="1">
      <c r="A572" s="2"/>
      <c r="B572" s="22"/>
      <c r="C572" s="2"/>
      <c r="D572" s="13"/>
      <c r="E572" s="3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</row>
    <row r="573" ht="13.5" customHeight="1">
      <c r="A573" s="2"/>
      <c r="B573" s="22"/>
      <c r="C573" s="2"/>
      <c r="D573" s="13"/>
      <c r="E573" s="3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</row>
    <row r="574" ht="13.5" customHeight="1">
      <c r="A574" s="2"/>
      <c r="B574" s="22"/>
      <c r="C574" s="2"/>
      <c r="D574" s="13"/>
      <c r="E574" s="3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</row>
    <row r="575" ht="13.5" customHeight="1">
      <c r="A575" s="2"/>
      <c r="B575" s="22"/>
      <c r="C575" s="2"/>
      <c r="D575" s="13"/>
      <c r="E575" s="3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</row>
    <row r="576" ht="13.5" customHeight="1">
      <c r="A576" s="2"/>
      <c r="B576" s="22"/>
      <c r="C576" s="2"/>
      <c r="D576" s="13"/>
      <c r="E576" s="3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</row>
    <row r="577" ht="13.5" customHeight="1">
      <c r="A577" s="2"/>
      <c r="B577" s="22"/>
      <c r="C577" s="2"/>
      <c r="D577" s="13"/>
      <c r="E577" s="3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</row>
    <row r="578" ht="13.5" customHeight="1">
      <c r="A578" s="2"/>
      <c r="B578" s="22"/>
      <c r="C578" s="2"/>
      <c r="D578" s="13"/>
      <c r="E578" s="3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</row>
    <row r="579" ht="13.5" customHeight="1">
      <c r="A579" s="2"/>
      <c r="B579" s="22"/>
      <c r="C579" s="2"/>
      <c r="D579" s="13"/>
      <c r="E579" s="3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</row>
    <row r="580" ht="13.5" customHeight="1">
      <c r="A580" s="2"/>
      <c r="B580" s="22"/>
      <c r="C580" s="2"/>
      <c r="D580" s="13"/>
      <c r="E580" s="3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</row>
    <row r="581" ht="13.5" customHeight="1">
      <c r="A581" s="2"/>
      <c r="B581" s="22"/>
      <c r="C581" s="2"/>
      <c r="D581" s="13"/>
      <c r="E581" s="3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</row>
    <row r="582" ht="13.5" customHeight="1">
      <c r="A582" s="2"/>
      <c r="B582" s="22"/>
      <c r="C582" s="2"/>
      <c r="D582" s="13"/>
      <c r="E582" s="3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</row>
    <row r="583" ht="13.5" customHeight="1">
      <c r="A583" s="2"/>
      <c r="B583" s="22"/>
      <c r="C583" s="2"/>
      <c r="D583" s="13"/>
      <c r="E583" s="3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</row>
    <row r="584" ht="13.5" customHeight="1">
      <c r="A584" s="2"/>
      <c r="B584" s="22"/>
      <c r="C584" s="2"/>
      <c r="D584" s="13"/>
      <c r="E584" s="3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</row>
    <row r="585" ht="13.5" customHeight="1">
      <c r="A585" s="2"/>
      <c r="B585" s="22"/>
      <c r="C585" s="2"/>
      <c r="D585" s="13"/>
      <c r="E585" s="3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</row>
    <row r="586" ht="13.5" customHeight="1">
      <c r="A586" s="2"/>
      <c r="B586" s="22"/>
      <c r="C586" s="2"/>
      <c r="D586" s="13"/>
      <c r="E586" s="3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</row>
    <row r="587" ht="13.5" customHeight="1">
      <c r="A587" s="2"/>
      <c r="B587" s="22"/>
      <c r="C587" s="2"/>
      <c r="D587" s="13"/>
      <c r="E587" s="3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</row>
    <row r="588" ht="13.5" customHeight="1">
      <c r="A588" s="2"/>
      <c r="B588" s="22"/>
      <c r="C588" s="2"/>
      <c r="D588" s="13"/>
      <c r="E588" s="3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</row>
    <row r="589" ht="13.5" customHeight="1">
      <c r="A589" s="2"/>
      <c r="B589" s="22"/>
      <c r="C589" s="2"/>
      <c r="D589" s="13"/>
      <c r="E589" s="3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</row>
    <row r="590" ht="13.5" customHeight="1">
      <c r="A590" s="2"/>
      <c r="B590" s="22"/>
      <c r="C590" s="2"/>
      <c r="D590" s="13"/>
      <c r="E590" s="3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</row>
    <row r="591" ht="13.5" customHeight="1">
      <c r="A591" s="2"/>
      <c r="B591" s="22"/>
      <c r="C591" s="2"/>
      <c r="D591" s="13"/>
      <c r="E591" s="3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</row>
    <row r="592" ht="13.5" customHeight="1">
      <c r="A592" s="2"/>
      <c r="B592" s="22"/>
      <c r="C592" s="2"/>
      <c r="D592" s="13"/>
      <c r="E592" s="3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</row>
    <row r="593" ht="13.5" customHeight="1">
      <c r="A593" s="2"/>
      <c r="B593" s="22"/>
      <c r="C593" s="2"/>
      <c r="D593" s="13"/>
      <c r="E593" s="3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</row>
    <row r="594" ht="13.5" customHeight="1">
      <c r="A594" s="2"/>
      <c r="B594" s="22"/>
      <c r="C594" s="2"/>
      <c r="D594" s="13"/>
      <c r="E594" s="3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</row>
    <row r="595" ht="13.5" customHeight="1">
      <c r="A595" s="2"/>
      <c r="B595" s="22"/>
      <c r="C595" s="2"/>
      <c r="D595" s="13"/>
      <c r="E595" s="3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</row>
    <row r="596" ht="13.5" customHeight="1">
      <c r="A596" s="2"/>
      <c r="B596" s="22"/>
      <c r="C596" s="2"/>
      <c r="D596" s="13"/>
      <c r="E596" s="3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</row>
    <row r="597" ht="13.5" customHeight="1">
      <c r="A597" s="2"/>
      <c r="B597" s="22"/>
      <c r="C597" s="2"/>
      <c r="D597" s="13"/>
      <c r="E597" s="3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</row>
    <row r="598" ht="13.5" customHeight="1">
      <c r="A598" s="2"/>
      <c r="B598" s="22"/>
      <c r="C598" s="2"/>
      <c r="D598" s="13"/>
      <c r="E598" s="3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</row>
    <row r="599" ht="13.5" customHeight="1">
      <c r="A599" s="2"/>
      <c r="B599" s="22"/>
      <c r="C599" s="2"/>
      <c r="D599" s="13"/>
      <c r="E599" s="3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</row>
    <row r="600" ht="13.5" customHeight="1">
      <c r="A600" s="2"/>
      <c r="B600" s="22"/>
      <c r="C600" s="2"/>
      <c r="D600" s="13"/>
      <c r="E600" s="3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</row>
    <row r="601" ht="13.5" customHeight="1">
      <c r="A601" s="2"/>
      <c r="B601" s="22"/>
      <c r="C601" s="2"/>
      <c r="D601" s="13"/>
      <c r="E601" s="3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</row>
    <row r="602" ht="13.5" customHeight="1">
      <c r="A602" s="2"/>
      <c r="B602" s="22"/>
      <c r="C602" s="2"/>
      <c r="D602" s="13"/>
      <c r="E602" s="3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</row>
    <row r="603" ht="13.5" customHeight="1">
      <c r="A603" s="2"/>
      <c r="B603" s="22"/>
      <c r="C603" s="2"/>
      <c r="D603" s="13"/>
      <c r="E603" s="3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</row>
    <row r="604" ht="13.5" customHeight="1">
      <c r="A604" s="2"/>
      <c r="B604" s="22"/>
      <c r="C604" s="2"/>
      <c r="D604" s="13"/>
      <c r="E604" s="3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</row>
    <row r="605" ht="13.5" customHeight="1">
      <c r="A605" s="2"/>
      <c r="B605" s="22"/>
      <c r="C605" s="2"/>
      <c r="D605" s="13"/>
      <c r="E605" s="3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</row>
    <row r="606" ht="13.5" customHeight="1">
      <c r="A606" s="2"/>
      <c r="B606" s="22"/>
      <c r="C606" s="2"/>
      <c r="D606" s="13"/>
      <c r="E606" s="3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</row>
    <row r="607" ht="13.5" customHeight="1">
      <c r="A607" s="2"/>
      <c r="B607" s="22"/>
      <c r="C607" s="2"/>
      <c r="D607" s="13"/>
      <c r="E607" s="3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</row>
    <row r="608" ht="13.5" customHeight="1">
      <c r="A608" s="2"/>
      <c r="B608" s="22"/>
      <c r="C608" s="2"/>
      <c r="D608" s="13"/>
      <c r="E608" s="3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</row>
    <row r="609" ht="13.5" customHeight="1">
      <c r="A609" s="2"/>
      <c r="B609" s="22"/>
      <c r="C609" s="2"/>
      <c r="D609" s="13"/>
      <c r="E609" s="3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</row>
    <row r="610" ht="13.5" customHeight="1">
      <c r="A610" s="2"/>
      <c r="B610" s="22"/>
      <c r="C610" s="2"/>
      <c r="D610" s="13"/>
      <c r="E610" s="3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</row>
    <row r="611" ht="13.5" customHeight="1">
      <c r="A611" s="2"/>
      <c r="B611" s="22"/>
      <c r="C611" s="2"/>
      <c r="D611" s="13"/>
      <c r="E611" s="3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</row>
    <row r="612" ht="13.5" customHeight="1">
      <c r="A612" s="2"/>
      <c r="B612" s="22"/>
      <c r="C612" s="2"/>
      <c r="D612" s="13"/>
      <c r="E612" s="3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</row>
    <row r="613" ht="13.5" customHeight="1">
      <c r="A613" s="2"/>
      <c r="B613" s="22"/>
      <c r="C613" s="2"/>
      <c r="D613" s="13"/>
      <c r="E613" s="3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</row>
    <row r="614" ht="13.5" customHeight="1">
      <c r="A614" s="2"/>
      <c r="B614" s="22"/>
      <c r="C614" s="2"/>
      <c r="D614" s="13"/>
      <c r="E614" s="3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</row>
    <row r="615" ht="13.5" customHeight="1">
      <c r="A615" s="2"/>
      <c r="B615" s="22"/>
      <c r="C615" s="2"/>
      <c r="D615" s="13"/>
      <c r="E615" s="3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</row>
    <row r="616" ht="13.5" customHeight="1">
      <c r="A616" s="2"/>
      <c r="B616" s="22"/>
      <c r="C616" s="2"/>
      <c r="D616" s="13"/>
      <c r="E616" s="3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</row>
    <row r="617" ht="13.5" customHeight="1">
      <c r="A617" s="2"/>
      <c r="B617" s="22"/>
      <c r="C617" s="2"/>
      <c r="D617" s="13"/>
      <c r="E617" s="3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</row>
    <row r="618" ht="13.5" customHeight="1">
      <c r="A618" s="2"/>
      <c r="B618" s="22"/>
      <c r="C618" s="2"/>
      <c r="D618" s="13"/>
      <c r="E618" s="3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</row>
    <row r="619" ht="13.5" customHeight="1">
      <c r="A619" s="2"/>
      <c r="B619" s="22"/>
      <c r="C619" s="2"/>
      <c r="D619" s="13"/>
      <c r="E619" s="3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</row>
    <row r="620" ht="13.5" customHeight="1">
      <c r="A620" s="2"/>
      <c r="B620" s="22"/>
      <c r="C620" s="2"/>
      <c r="D620" s="13"/>
      <c r="E620" s="3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</row>
    <row r="621" ht="13.5" customHeight="1">
      <c r="A621" s="2"/>
      <c r="B621" s="22"/>
      <c r="C621" s="2"/>
      <c r="D621" s="13"/>
      <c r="E621" s="3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</row>
    <row r="622" ht="13.5" customHeight="1">
      <c r="A622" s="2"/>
      <c r="B622" s="22"/>
      <c r="C622" s="2"/>
      <c r="D622" s="13"/>
      <c r="E622" s="3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</row>
    <row r="623" ht="13.5" customHeight="1">
      <c r="A623" s="2"/>
      <c r="B623" s="22"/>
      <c r="C623" s="2"/>
      <c r="D623" s="13"/>
      <c r="E623" s="3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</row>
    <row r="624" ht="13.5" customHeight="1">
      <c r="A624" s="2"/>
      <c r="B624" s="22"/>
      <c r="C624" s="2"/>
      <c r="D624" s="13"/>
      <c r="E624" s="3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</row>
    <row r="625" ht="13.5" customHeight="1">
      <c r="A625" s="2"/>
      <c r="B625" s="22"/>
      <c r="C625" s="2"/>
      <c r="D625" s="13"/>
      <c r="E625" s="3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</row>
    <row r="626" ht="13.5" customHeight="1">
      <c r="A626" s="2"/>
      <c r="B626" s="22"/>
      <c r="C626" s="2"/>
      <c r="D626" s="13"/>
      <c r="E626" s="3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</row>
    <row r="627" ht="13.5" customHeight="1">
      <c r="A627" s="2"/>
      <c r="B627" s="22"/>
      <c r="C627" s="2"/>
      <c r="D627" s="13"/>
      <c r="E627" s="3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</row>
    <row r="628" ht="13.5" customHeight="1">
      <c r="A628" s="2"/>
      <c r="B628" s="22"/>
      <c r="C628" s="2"/>
      <c r="D628" s="13"/>
      <c r="E628" s="3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</row>
    <row r="629" ht="13.5" customHeight="1">
      <c r="A629" s="2"/>
      <c r="B629" s="22"/>
      <c r="C629" s="2"/>
      <c r="D629" s="13"/>
      <c r="E629" s="3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</row>
    <row r="630" ht="13.5" customHeight="1">
      <c r="A630" s="2"/>
      <c r="B630" s="22"/>
      <c r="C630" s="2"/>
      <c r="D630" s="13"/>
      <c r="E630" s="3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</row>
    <row r="631" ht="13.5" customHeight="1">
      <c r="A631" s="2"/>
      <c r="B631" s="22"/>
      <c r="C631" s="2"/>
      <c r="D631" s="13"/>
      <c r="E631" s="3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</row>
    <row r="632" ht="13.5" customHeight="1">
      <c r="A632" s="2"/>
      <c r="B632" s="22"/>
      <c r="C632" s="2"/>
      <c r="D632" s="13"/>
      <c r="E632" s="3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</row>
    <row r="633" ht="13.5" customHeight="1">
      <c r="A633" s="2"/>
      <c r="B633" s="22"/>
      <c r="C633" s="2"/>
      <c r="D633" s="13"/>
      <c r="E633" s="3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</row>
    <row r="634" ht="13.5" customHeight="1">
      <c r="A634" s="2"/>
      <c r="B634" s="22"/>
      <c r="C634" s="2"/>
      <c r="D634" s="13"/>
      <c r="E634" s="3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</row>
    <row r="635" ht="13.5" customHeight="1">
      <c r="A635" s="2"/>
      <c r="B635" s="22"/>
      <c r="C635" s="2"/>
      <c r="D635" s="13"/>
      <c r="E635" s="3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</row>
    <row r="636" ht="13.5" customHeight="1">
      <c r="A636" s="2"/>
      <c r="B636" s="22"/>
      <c r="C636" s="2"/>
      <c r="D636" s="13"/>
      <c r="E636" s="3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</row>
    <row r="637" ht="13.5" customHeight="1">
      <c r="A637" s="2"/>
      <c r="B637" s="22"/>
      <c r="C637" s="2"/>
      <c r="D637" s="13"/>
      <c r="E637" s="3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</row>
    <row r="638" ht="13.5" customHeight="1">
      <c r="A638" s="2"/>
      <c r="B638" s="22"/>
      <c r="C638" s="2"/>
      <c r="D638" s="13"/>
      <c r="E638" s="3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</row>
    <row r="639" ht="13.5" customHeight="1">
      <c r="A639" s="2"/>
      <c r="B639" s="22"/>
      <c r="C639" s="2"/>
      <c r="D639" s="13"/>
      <c r="E639" s="3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</row>
    <row r="640" ht="13.5" customHeight="1">
      <c r="A640" s="2"/>
      <c r="B640" s="22"/>
      <c r="C640" s="2"/>
      <c r="D640" s="13"/>
      <c r="E640" s="3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</row>
    <row r="641" ht="13.5" customHeight="1">
      <c r="A641" s="2"/>
      <c r="B641" s="22"/>
      <c r="C641" s="2"/>
      <c r="D641" s="13"/>
      <c r="E641" s="3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</row>
    <row r="642" ht="13.5" customHeight="1">
      <c r="A642" s="2"/>
      <c r="B642" s="22"/>
      <c r="C642" s="2"/>
      <c r="D642" s="13"/>
      <c r="E642" s="3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</row>
    <row r="643" ht="13.5" customHeight="1">
      <c r="A643" s="2"/>
      <c r="B643" s="22"/>
      <c r="C643" s="2"/>
      <c r="D643" s="13"/>
      <c r="E643" s="3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</row>
    <row r="644" ht="13.5" customHeight="1">
      <c r="A644" s="2"/>
      <c r="B644" s="22"/>
      <c r="C644" s="2"/>
      <c r="D644" s="13"/>
      <c r="E644" s="3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</row>
    <row r="645" ht="13.5" customHeight="1">
      <c r="A645" s="2"/>
      <c r="B645" s="22"/>
      <c r="C645" s="2"/>
      <c r="D645" s="13"/>
      <c r="E645" s="3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</row>
    <row r="646" ht="13.5" customHeight="1">
      <c r="A646" s="2"/>
      <c r="B646" s="22"/>
      <c r="C646" s="2"/>
      <c r="D646" s="13"/>
      <c r="E646" s="3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</row>
    <row r="647" ht="13.5" customHeight="1">
      <c r="A647" s="2"/>
      <c r="B647" s="22"/>
      <c r="C647" s="2"/>
      <c r="D647" s="13"/>
      <c r="E647" s="3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</row>
    <row r="648" ht="13.5" customHeight="1">
      <c r="A648" s="2"/>
      <c r="B648" s="22"/>
      <c r="C648" s="2"/>
      <c r="D648" s="13"/>
      <c r="E648" s="3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</row>
    <row r="649" ht="13.5" customHeight="1">
      <c r="A649" s="2"/>
      <c r="B649" s="22"/>
      <c r="C649" s="2"/>
      <c r="D649" s="13"/>
      <c r="E649" s="3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</row>
    <row r="650" ht="13.5" customHeight="1">
      <c r="A650" s="2"/>
      <c r="B650" s="22"/>
      <c r="C650" s="2"/>
      <c r="D650" s="13"/>
      <c r="E650" s="3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</row>
    <row r="651" ht="13.5" customHeight="1">
      <c r="A651" s="2"/>
      <c r="B651" s="22"/>
      <c r="C651" s="2"/>
      <c r="D651" s="13"/>
      <c r="E651" s="3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</row>
    <row r="652" ht="13.5" customHeight="1">
      <c r="A652" s="2"/>
      <c r="B652" s="22"/>
      <c r="C652" s="2"/>
      <c r="D652" s="13"/>
      <c r="E652" s="3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</row>
    <row r="653" ht="13.5" customHeight="1">
      <c r="A653" s="2"/>
      <c r="B653" s="22"/>
      <c r="C653" s="2"/>
      <c r="D653" s="13"/>
      <c r="E653" s="3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</row>
    <row r="654" ht="13.5" customHeight="1">
      <c r="A654" s="2"/>
      <c r="B654" s="22"/>
      <c r="C654" s="2"/>
      <c r="D654" s="13"/>
      <c r="E654" s="3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</row>
    <row r="655" ht="13.5" customHeight="1">
      <c r="A655" s="2"/>
      <c r="B655" s="22"/>
      <c r="C655" s="2"/>
      <c r="D655" s="13"/>
      <c r="E655" s="3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</row>
    <row r="656" ht="13.5" customHeight="1">
      <c r="A656" s="2"/>
      <c r="B656" s="22"/>
      <c r="C656" s="2"/>
      <c r="D656" s="13"/>
      <c r="E656" s="3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</row>
    <row r="657" ht="13.5" customHeight="1">
      <c r="A657" s="2"/>
      <c r="B657" s="22"/>
      <c r="C657" s="2"/>
      <c r="D657" s="13"/>
      <c r="E657" s="3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</row>
    <row r="658" ht="13.5" customHeight="1">
      <c r="A658" s="2"/>
      <c r="B658" s="22"/>
      <c r="C658" s="2"/>
      <c r="D658" s="13"/>
      <c r="E658" s="3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</row>
    <row r="659" ht="13.5" customHeight="1">
      <c r="A659" s="2"/>
      <c r="B659" s="22"/>
      <c r="C659" s="2"/>
      <c r="D659" s="13"/>
      <c r="E659" s="3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</row>
    <row r="660" ht="13.5" customHeight="1">
      <c r="A660" s="2"/>
      <c r="B660" s="22"/>
      <c r="C660" s="2"/>
      <c r="D660" s="13"/>
      <c r="E660" s="3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</row>
    <row r="661" ht="13.5" customHeight="1">
      <c r="A661" s="2"/>
      <c r="B661" s="22"/>
      <c r="C661" s="2"/>
      <c r="D661" s="13"/>
      <c r="E661" s="3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</row>
    <row r="662" ht="13.5" customHeight="1">
      <c r="A662" s="2"/>
      <c r="B662" s="22"/>
      <c r="C662" s="2"/>
      <c r="D662" s="13"/>
      <c r="E662" s="3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</row>
    <row r="663" ht="13.5" customHeight="1">
      <c r="A663" s="2"/>
      <c r="B663" s="22"/>
      <c r="C663" s="2"/>
      <c r="D663" s="13"/>
      <c r="E663" s="3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</row>
    <row r="664" ht="13.5" customHeight="1">
      <c r="A664" s="2"/>
      <c r="B664" s="22"/>
      <c r="C664" s="2"/>
      <c r="D664" s="13"/>
      <c r="E664" s="3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</row>
    <row r="665" ht="13.5" customHeight="1">
      <c r="A665" s="2"/>
      <c r="B665" s="22"/>
      <c r="C665" s="2"/>
      <c r="D665" s="13"/>
      <c r="E665" s="3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</row>
    <row r="666" ht="13.5" customHeight="1">
      <c r="A666" s="2"/>
      <c r="B666" s="22"/>
      <c r="C666" s="2"/>
      <c r="D666" s="13"/>
      <c r="E666" s="3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</row>
    <row r="667" ht="13.5" customHeight="1">
      <c r="A667" s="2"/>
      <c r="B667" s="22"/>
      <c r="C667" s="2"/>
      <c r="D667" s="13"/>
      <c r="E667" s="3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</row>
    <row r="668" ht="13.5" customHeight="1">
      <c r="A668" s="2"/>
      <c r="B668" s="22"/>
      <c r="C668" s="2"/>
      <c r="D668" s="13"/>
      <c r="E668" s="3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</row>
    <row r="669" ht="13.5" customHeight="1">
      <c r="A669" s="2"/>
      <c r="B669" s="22"/>
      <c r="C669" s="2"/>
      <c r="D669" s="13"/>
      <c r="E669" s="3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</row>
    <row r="670" ht="13.5" customHeight="1">
      <c r="A670" s="2"/>
      <c r="B670" s="22"/>
      <c r="C670" s="2"/>
      <c r="D670" s="13"/>
      <c r="E670" s="3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</row>
    <row r="671" ht="13.5" customHeight="1">
      <c r="A671" s="2"/>
      <c r="B671" s="22"/>
      <c r="C671" s="2"/>
      <c r="D671" s="13"/>
      <c r="E671" s="3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</row>
    <row r="672" ht="13.5" customHeight="1">
      <c r="A672" s="2"/>
      <c r="B672" s="22"/>
      <c r="C672" s="2"/>
      <c r="D672" s="13"/>
      <c r="E672" s="3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</row>
    <row r="673" ht="13.5" customHeight="1">
      <c r="A673" s="2"/>
      <c r="B673" s="22"/>
      <c r="C673" s="2"/>
      <c r="D673" s="13"/>
      <c r="E673" s="3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</row>
    <row r="674" ht="13.5" customHeight="1">
      <c r="A674" s="2"/>
      <c r="B674" s="22"/>
      <c r="C674" s="2"/>
      <c r="D674" s="13"/>
      <c r="E674" s="3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</row>
    <row r="675" ht="13.5" customHeight="1">
      <c r="A675" s="2"/>
      <c r="B675" s="22"/>
      <c r="C675" s="2"/>
      <c r="D675" s="13"/>
      <c r="E675" s="3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</row>
    <row r="676" ht="13.5" customHeight="1">
      <c r="A676" s="2"/>
      <c r="B676" s="22"/>
      <c r="C676" s="2"/>
      <c r="D676" s="13"/>
      <c r="E676" s="3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</row>
    <row r="677" ht="13.5" customHeight="1">
      <c r="A677" s="2"/>
      <c r="B677" s="22"/>
      <c r="C677" s="2"/>
      <c r="D677" s="13"/>
      <c r="E677" s="3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</row>
    <row r="678" ht="13.5" customHeight="1">
      <c r="A678" s="2"/>
      <c r="B678" s="22"/>
      <c r="C678" s="2"/>
      <c r="D678" s="13"/>
      <c r="E678" s="3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</row>
    <row r="679" ht="13.5" customHeight="1">
      <c r="A679" s="2"/>
      <c r="B679" s="22"/>
      <c r="C679" s="2"/>
      <c r="D679" s="13"/>
      <c r="E679" s="3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</row>
    <row r="680" ht="13.5" customHeight="1">
      <c r="A680" s="2"/>
      <c r="B680" s="22"/>
      <c r="C680" s="2"/>
      <c r="D680" s="13"/>
      <c r="E680" s="3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</row>
    <row r="681" ht="13.5" customHeight="1">
      <c r="A681" s="2"/>
      <c r="B681" s="22"/>
      <c r="C681" s="2"/>
      <c r="D681" s="13"/>
      <c r="E681" s="3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</row>
    <row r="682" ht="13.5" customHeight="1">
      <c r="A682" s="2"/>
      <c r="B682" s="22"/>
      <c r="C682" s="2"/>
      <c r="D682" s="13"/>
      <c r="E682" s="3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</row>
    <row r="683" ht="13.5" customHeight="1">
      <c r="A683" s="2"/>
      <c r="B683" s="22"/>
      <c r="C683" s="2"/>
      <c r="D683" s="13"/>
      <c r="E683" s="3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</row>
    <row r="684" ht="13.5" customHeight="1">
      <c r="A684" s="2"/>
      <c r="B684" s="22"/>
      <c r="C684" s="2"/>
      <c r="D684" s="13"/>
      <c r="E684" s="3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</row>
    <row r="685" ht="13.5" customHeight="1">
      <c r="A685" s="2"/>
      <c r="B685" s="22"/>
      <c r="C685" s="2"/>
      <c r="D685" s="13"/>
      <c r="E685" s="3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</row>
    <row r="686" ht="13.5" customHeight="1">
      <c r="A686" s="2"/>
      <c r="B686" s="22"/>
      <c r="C686" s="2"/>
      <c r="D686" s="13"/>
      <c r="E686" s="3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</row>
    <row r="687" ht="13.5" customHeight="1">
      <c r="A687" s="2"/>
      <c r="B687" s="22"/>
      <c r="C687" s="2"/>
      <c r="D687" s="13"/>
      <c r="E687" s="3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</row>
    <row r="688" ht="13.5" customHeight="1">
      <c r="A688" s="2"/>
      <c r="B688" s="22"/>
      <c r="C688" s="2"/>
      <c r="D688" s="13"/>
      <c r="E688" s="3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</row>
    <row r="689" ht="13.5" customHeight="1">
      <c r="A689" s="2"/>
      <c r="B689" s="22"/>
      <c r="C689" s="2"/>
      <c r="D689" s="13"/>
      <c r="E689" s="3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</row>
    <row r="690" ht="13.5" customHeight="1">
      <c r="A690" s="2"/>
      <c r="B690" s="22"/>
      <c r="C690" s="2"/>
      <c r="D690" s="13"/>
      <c r="E690" s="3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</row>
    <row r="691" ht="13.5" customHeight="1">
      <c r="A691" s="2"/>
      <c r="B691" s="22"/>
      <c r="C691" s="2"/>
      <c r="D691" s="13"/>
      <c r="E691" s="3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</row>
    <row r="692" ht="13.5" customHeight="1">
      <c r="A692" s="2"/>
      <c r="B692" s="22"/>
      <c r="C692" s="2"/>
      <c r="D692" s="13"/>
      <c r="E692" s="3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</row>
    <row r="693" ht="13.5" customHeight="1">
      <c r="A693" s="2"/>
      <c r="B693" s="22"/>
      <c r="C693" s="2"/>
      <c r="D693" s="13"/>
      <c r="E693" s="3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</row>
    <row r="694" ht="13.5" customHeight="1">
      <c r="A694" s="2"/>
      <c r="B694" s="22"/>
      <c r="C694" s="2"/>
      <c r="D694" s="13"/>
      <c r="E694" s="3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</row>
    <row r="695" ht="13.5" customHeight="1">
      <c r="A695" s="2"/>
      <c r="B695" s="22"/>
      <c r="C695" s="2"/>
      <c r="D695" s="13"/>
      <c r="E695" s="3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</row>
    <row r="696" ht="13.5" customHeight="1">
      <c r="A696" s="2"/>
      <c r="B696" s="22"/>
      <c r="C696" s="2"/>
      <c r="D696" s="13"/>
      <c r="E696" s="3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</row>
    <row r="697" ht="13.5" customHeight="1">
      <c r="A697" s="2"/>
      <c r="B697" s="22"/>
      <c r="C697" s="2"/>
      <c r="D697" s="13"/>
      <c r="E697" s="3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</row>
    <row r="698" ht="13.5" customHeight="1">
      <c r="A698" s="2"/>
      <c r="B698" s="22"/>
      <c r="C698" s="2"/>
      <c r="D698" s="13"/>
      <c r="E698" s="3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</row>
    <row r="699" ht="13.5" customHeight="1">
      <c r="A699" s="2"/>
      <c r="B699" s="22"/>
      <c r="C699" s="2"/>
      <c r="D699" s="13"/>
      <c r="E699" s="3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</row>
    <row r="700" ht="13.5" customHeight="1">
      <c r="A700" s="2"/>
      <c r="B700" s="22"/>
      <c r="C700" s="2"/>
      <c r="D700" s="13"/>
      <c r="E700" s="3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</row>
    <row r="701" ht="13.5" customHeight="1">
      <c r="A701" s="2"/>
      <c r="B701" s="22"/>
      <c r="C701" s="2"/>
      <c r="D701" s="13"/>
      <c r="E701" s="3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</row>
    <row r="702" ht="13.5" customHeight="1">
      <c r="A702" s="2"/>
      <c r="B702" s="22"/>
      <c r="C702" s="2"/>
      <c r="D702" s="13"/>
      <c r="E702" s="3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</row>
    <row r="703" ht="13.5" customHeight="1">
      <c r="A703" s="2"/>
      <c r="B703" s="22"/>
      <c r="C703" s="2"/>
      <c r="D703" s="13"/>
      <c r="E703" s="3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</row>
    <row r="704" ht="13.5" customHeight="1">
      <c r="A704" s="2"/>
      <c r="B704" s="22"/>
      <c r="C704" s="2"/>
      <c r="D704" s="13"/>
      <c r="E704" s="3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</row>
    <row r="705" ht="13.5" customHeight="1">
      <c r="A705" s="2"/>
      <c r="B705" s="22"/>
      <c r="C705" s="2"/>
      <c r="D705" s="13"/>
      <c r="E705" s="3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</row>
    <row r="706" ht="13.5" customHeight="1">
      <c r="A706" s="2"/>
      <c r="B706" s="22"/>
      <c r="C706" s="2"/>
      <c r="D706" s="13"/>
      <c r="E706" s="3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</row>
    <row r="707" ht="13.5" customHeight="1">
      <c r="A707" s="2"/>
      <c r="B707" s="22"/>
      <c r="C707" s="2"/>
      <c r="D707" s="13"/>
      <c r="E707" s="3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</row>
    <row r="708" ht="13.5" customHeight="1">
      <c r="A708" s="2"/>
      <c r="B708" s="22"/>
      <c r="C708" s="2"/>
      <c r="D708" s="13"/>
      <c r="E708" s="3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</row>
    <row r="709" ht="13.5" customHeight="1">
      <c r="A709" s="2"/>
      <c r="B709" s="22"/>
      <c r="C709" s="2"/>
      <c r="D709" s="13"/>
      <c r="E709" s="3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</row>
    <row r="710" ht="13.5" customHeight="1">
      <c r="A710" s="2"/>
      <c r="B710" s="22"/>
      <c r="C710" s="2"/>
      <c r="D710" s="13"/>
      <c r="E710" s="3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</row>
    <row r="711" ht="13.5" customHeight="1">
      <c r="A711" s="2"/>
      <c r="B711" s="22"/>
      <c r="C711" s="2"/>
      <c r="D711" s="13"/>
      <c r="E711" s="3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</row>
    <row r="712" ht="13.5" customHeight="1">
      <c r="A712" s="2"/>
      <c r="B712" s="22"/>
      <c r="C712" s="2"/>
      <c r="D712" s="13"/>
      <c r="E712" s="3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</row>
    <row r="713" ht="13.5" customHeight="1">
      <c r="A713" s="2"/>
      <c r="B713" s="22"/>
      <c r="C713" s="2"/>
      <c r="D713" s="13"/>
      <c r="E713" s="3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</row>
    <row r="714" ht="13.5" customHeight="1">
      <c r="A714" s="2"/>
      <c r="B714" s="22"/>
      <c r="C714" s="2"/>
      <c r="D714" s="13"/>
      <c r="E714" s="3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</row>
    <row r="715" ht="13.5" customHeight="1">
      <c r="A715" s="2"/>
      <c r="B715" s="22"/>
      <c r="C715" s="2"/>
      <c r="D715" s="13"/>
      <c r="E715" s="3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</row>
    <row r="716" ht="13.5" customHeight="1">
      <c r="A716" s="2"/>
      <c r="B716" s="22"/>
      <c r="C716" s="2"/>
      <c r="D716" s="13"/>
      <c r="E716" s="3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</row>
    <row r="717" ht="13.5" customHeight="1">
      <c r="A717" s="2"/>
      <c r="B717" s="22"/>
      <c r="C717" s="2"/>
      <c r="D717" s="13"/>
      <c r="E717" s="3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</row>
    <row r="718" ht="13.5" customHeight="1">
      <c r="A718" s="2"/>
      <c r="B718" s="22"/>
      <c r="C718" s="2"/>
      <c r="D718" s="13"/>
      <c r="E718" s="3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</row>
    <row r="719" ht="13.5" customHeight="1">
      <c r="A719" s="2"/>
      <c r="B719" s="22"/>
      <c r="C719" s="2"/>
      <c r="D719" s="13"/>
      <c r="E719" s="3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</row>
    <row r="720" ht="13.5" customHeight="1">
      <c r="A720" s="2"/>
      <c r="B720" s="22"/>
      <c r="C720" s="2"/>
      <c r="D720" s="13"/>
      <c r="E720" s="3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</row>
    <row r="721" ht="13.5" customHeight="1">
      <c r="A721" s="2"/>
      <c r="B721" s="22"/>
      <c r="C721" s="2"/>
      <c r="D721" s="13"/>
      <c r="E721" s="3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</row>
    <row r="722" ht="13.5" customHeight="1">
      <c r="A722" s="2"/>
      <c r="B722" s="22"/>
      <c r="C722" s="2"/>
      <c r="D722" s="13"/>
      <c r="E722" s="3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</row>
    <row r="723" ht="13.5" customHeight="1">
      <c r="A723" s="2"/>
      <c r="B723" s="22"/>
      <c r="C723" s="2"/>
      <c r="D723" s="13"/>
      <c r="E723" s="3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</row>
    <row r="724" ht="13.5" customHeight="1">
      <c r="A724" s="2"/>
      <c r="B724" s="22"/>
      <c r="C724" s="2"/>
      <c r="D724" s="13"/>
      <c r="E724" s="3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</row>
    <row r="725" ht="13.5" customHeight="1">
      <c r="A725" s="2"/>
      <c r="B725" s="22"/>
      <c r="C725" s="2"/>
      <c r="D725" s="13"/>
      <c r="E725" s="3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</row>
    <row r="726" ht="13.5" customHeight="1">
      <c r="A726" s="2"/>
      <c r="B726" s="22"/>
      <c r="C726" s="2"/>
      <c r="D726" s="13"/>
      <c r="E726" s="3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</row>
    <row r="727" ht="13.5" customHeight="1">
      <c r="A727" s="2"/>
      <c r="B727" s="22"/>
      <c r="C727" s="2"/>
      <c r="D727" s="13"/>
      <c r="E727" s="3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</row>
    <row r="728" ht="13.5" customHeight="1">
      <c r="A728" s="2"/>
      <c r="B728" s="22"/>
      <c r="C728" s="2"/>
      <c r="D728" s="13"/>
      <c r="E728" s="3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</row>
    <row r="729" ht="13.5" customHeight="1">
      <c r="A729" s="2"/>
      <c r="B729" s="22"/>
      <c r="C729" s="2"/>
      <c r="D729" s="13"/>
      <c r="E729" s="3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</row>
    <row r="730" ht="13.5" customHeight="1">
      <c r="A730" s="2"/>
      <c r="B730" s="22"/>
      <c r="C730" s="2"/>
      <c r="D730" s="13"/>
      <c r="E730" s="3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</row>
    <row r="731" ht="13.5" customHeight="1">
      <c r="A731" s="2"/>
      <c r="B731" s="22"/>
      <c r="C731" s="2"/>
      <c r="D731" s="13"/>
      <c r="E731" s="3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</row>
    <row r="732" ht="13.5" customHeight="1">
      <c r="A732" s="2"/>
      <c r="B732" s="22"/>
      <c r="C732" s="2"/>
      <c r="D732" s="13"/>
      <c r="E732" s="3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</row>
    <row r="733" ht="13.5" customHeight="1">
      <c r="A733" s="2"/>
      <c r="B733" s="22"/>
      <c r="C733" s="2"/>
      <c r="D733" s="13"/>
      <c r="E733" s="3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</row>
    <row r="734" ht="13.5" customHeight="1">
      <c r="A734" s="2"/>
      <c r="B734" s="22"/>
      <c r="C734" s="2"/>
      <c r="D734" s="13"/>
      <c r="E734" s="3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</row>
    <row r="735" ht="13.5" customHeight="1">
      <c r="A735" s="2"/>
      <c r="B735" s="22"/>
      <c r="C735" s="2"/>
      <c r="D735" s="13"/>
      <c r="E735" s="3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</row>
    <row r="736" ht="13.5" customHeight="1">
      <c r="A736" s="2"/>
      <c r="B736" s="22"/>
      <c r="C736" s="2"/>
      <c r="D736" s="13"/>
      <c r="E736" s="3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</row>
    <row r="737" ht="13.5" customHeight="1">
      <c r="A737" s="2"/>
      <c r="B737" s="22"/>
      <c r="C737" s="2"/>
      <c r="D737" s="13"/>
      <c r="E737" s="3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</row>
    <row r="738" ht="13.5" customHeight="1">
      <c r="A738" s="2"/>
      <c r="B738" s="22"/>
      <c r="C738" s="2"/>
      <c r="D738" s="13"/>
      <c r="E738" s="3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</row>
    <row r="739" ht="13.5" customHeight="1">
      <c r="A739" s="2"/>
      <c r="B739" s="22"/>
      <c r="C739" s="2"/>
      <c r="D739" s="13"/>
      <c r="E739" s="3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</row>
    <row r="740" ht="13.5" customHeight="1">
      <c r="A740" s="2"/>
      <c r="B740" s="22"/>
      <c r="C740" s="2"/>
      <c r="D740" s="13"/>
      <c r="E740" s="3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</row>
    <row r="741" ht="13.5" customHeight="1">
      <c r="A741" s="2"/>
      <c r="B741" s="22"/>
      <c r="C741" s="2"/>
      <c r="D741" s="13"/>
      <c r="E741" s="3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</row>
    <row r="742" ht="13.5" customHeight="1">
      <c r="A742" s="2"/>
      <c r="B742" s="22"/>
      <c r="C742" s="2"/>
      <c r="D742" s="13"/>
      <c r="E742" s="3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</row>
    <row r="743" ht="13.5" customHeight="1">
      <c r="A743" s="2"/>
      <c r="B743" s="22"/>
      <c r="C743" s="2"/>
      <c r="D743" s="13"/>
      <c r="E743" s="3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</row>
    <row r="744" ht="13.5" customHeight="1">
      <c r="A744" s="2"/>
      <c r="B744" s="22"/>
      <c r="C744" s="2"/>
      <c r="D744" s="13"/>
      <c r="E744" s="3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</row>
    <row r="745" ht="13.5" customHeight="1">
      <c r="A745" s="2"/>
      <c r="B745" s="22"/>
      <c r="C745" s="2"/>
      <c r="D745" s="13"/>
      <c r="E745" s="3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</row>
    <row r="746" ht="13.5" customHeight="1">
      <c r="A746" s="2"/>
      <c r="B746" s="22"/>
      <c r="C746" s="2"/>
      <c r="D746" s="13"/>
      <c r="E746" s="3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</row>
    <row r="747" ht="13.5" customHeight="1">
      <c r="A747" s="2"/>
      <c r="B747" s="22"/>
      <c r="C747" s="2"/>
      <c r="D747" s="13"/>
      <c r="E747" s="3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</row>
    <row r="748" ht="13.5" customHeight="1">
      <c r="A748" s="2"/>
      <c r="B748" s="22"/>
      <c r="C748" s="2"/>
      <c r="D748" s="13"/>
      <c r="E748" s="3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</row>
    <row r="749" ht="13.5" customHeight="1">
      <c r="A749" s="2"/>
      <c r="B749" s="22"/>
      <c r="C749" s="2"/>
      <c r="D749" s="13"/>
      <c r="E749" s="3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</row>
    <row r="750" ht="13.5" customHeight="1">
      <c r="A750" s="2"/>
      <c r="B750" s="22"/>
      <c r="C750" s="2"/>
      <c r="D750" s="13"/>
      <c r="E750" s="3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</row>
    <row r="751" ht="13.5" customHeight="1">
      <c r="A751" s="2"/>
      <c r="B751" s="22"/>
      <c r="C751" s="2"/>
      <c r="D751" s="13"/>
      <c r="E751" s="3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</row>
    <row r="752" ht="13.5" customHeight="1">
      <c r="A752" s="2"/>
      <c r="B752" s="22"/>
      <c r="C752" s="2"/>
      <c r="D752" s="13"/>
      <c r="E752" s="3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</row>
    <row r="753" ht="13.5" customHeight="1">
      <c r="A753" s="2"/>
      <c r="B753" s="22"/>
      <c r="C753" s="2"/>
      <c r="D753" s="13"/>
      <c r="E753" s="3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</row>
    <row r="754" ht="13.5" customHeight="1">
      <c r="A754" s="2"/>
      <c r="B754" s="22"/>
      <c r="C754" s="2"/>
      <c r="D754" s="13"/>
      <c r="E754" s="3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</row>
    <row r="755" ht="13.5" customHeight="1">
      <c r="A755" s="2"/>
      <c r="B755" s="22"/>
      <c r="C755" s="2"/>
      <c r="D755" s="13"/>
      <c r="E755" s="3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</row>
    <row r="756" ht="13.5" customHeight="1">
      <c r="A756" s="2"/>
      <c r="B756" s="22"/>
      <c r="C756" s="2"/>
      <c r="D756" s="13"/>
      <c r="E756" s="3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</row>
    <row r="757" ht="13.5" customHeight="1">
      <c r="A757" s="2"/>
      <c r="B757" s="22"/>
      <c r="C757" s="2"/>
      <c r="D757" s="13"/>
      <c r="E757" s="3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</row>
    <row r="758" ht="13.5" customHeight="1">
      <c r="A758" s="2"/>
      <c r="B758" s="22"/>
      <c r="C758" s="2"/>
      <c r="D758" s="13"/>
      <c r="E758" s="3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</row>
    <row r="759" ht="13.5" customHeight="1">
      <c r="A759" s="2"/>
      <c r="B759" s="22"/>
      <c r="C759" s="2"/>
      <c r="D759" s="13"/>
      <c r="E759" s="3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</row>
    <row r="760" ht="13.5" customHeight="1">
      <c r="A760" s="2"/>
      <c r="B760" s="22"/>
      <c r="C760" s="2"/>
      <c r="D760" s="13"/>
      <c r="E760" s="3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</row>
    <row r="761" ht="13.5" customHeight="1">
      <c r="A761" s="2"/>
      <c r="B761" s="22"/>
      <c r="C761" s="2"/>
      <c r="D761" s="13"/>
      <c r="E761" s="3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</row>
    <row r="762" ht="13.5" customHeight="1">
      <c r="A762" s="2"/>
      <c r="B762" s="22"/>
      <c r="C762" s="2"/>
      <c r="D762" s="13"/>
      <c r="E762" s="3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</row>
    <row r="763" ht="13.5" customHeight="1">
      <c r="A763" s="2"/>
      <c r="B763" s="22"/>
      <c r="C763" s="2"/>
      <c r="D763" s="13"/>
      <c r="E763" s="3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</row>
    <row r="764" ht="13.5" customHeight="1">
      <c r="A764" s="2"/>
      <c r="B764" s="22"/>
      <c r="C764" s="2"/>
      <c r="D764" s="13"/>
      <c r="E764" s="3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</row>
    <row r="765" ht="13.5" customHeight="1">
      <c r="A765" s="2"/>
      <c r="B765" s="22"/>
      <c r="C765" s="2"/>
      <c r="D765" s="13"/>
      <c r="E765" s="3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</row>
    <row r="766" ht="13.5" customHeight="1">
      <c r="A766" s="2"/>
      <c r="B766" s="22"/>
      <c r="C766" s="2"/>
      <c r="D766" s="13"/>
      <c r="E766" s="3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</row>
    <row r="767" ht="13.5" customHeight="1">
      <c r="A767" s="2"/>
      <c r="B767" s="22"/>
      <c r="C767" s="2"/>
      <c r="D767" s="13"/>
      <c r="E767" s="3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</row>
    <row r="768" ht="13.5" customHeight="1">
      <c r="A768" s="2"/>
      <c r="B768" s="22"/>
      <c r="C768" s="2"/>
      <c r="D768" s="13"/>
      <c r="E768" s="3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</row>
    <row r="769" ht="13.5" customHeight="1">
      <c r="A769" s="2"/>
      <c r="B769" s="22"/>
      <c r="C769" s="2"/>
      <c r="D769" s="13"/>
      <c r="E769" s="3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</row>
    <row r="770" ht="13.5" customHeight="1">
      <c r="A770" s="2"/>
      <c r="B770" s="22"/>
      <c r="C770" s="2"/>
      <c r="D770" s="13"/>
      <c r="E770" s="3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</row>
    <row r="771" ht="13.5" customHeight="1">
      <c r="A771" s="2"/>
      <c r="B771" s="22"/>
      <c r="C771" s="2"/>
      <c r="D771" s="13"/>
      <c r="E771" s="3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</row>
    <row r="772" ht="13.5" customHeight="1">
      <c r="A772" s="2"/>
      <c r="B772" s="22"/>
      <c r="C772" s="2"/>
      <c r="D772" s="13"/>
      <c r="E772" s="3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</row>
    <row r="773" ht="13.5" customHeight="1">
      <c r="A773" s="2"/>
      <c r="B773" s="22"/>
      <c r="C773" s="2"/>
      <c r="D773" s="13"/>
      <c r="E773" s="3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</row>
    <row r="774" ht="13.5" customHeight="1">
      <c r="A774" s="2"/>
      <c r="B774" s="22"/>
      <c r="C774" s="2"/>
      <c r="D774" s="13"/>
      <c r="E774" s="3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</row>
    <row r="775" ht="13.5" customHeight="1">
      <c r="A775" s="2"/>
      <c r="B775" s="22"/>
      <c r="C775" s="2"/>
      <c r="D775" s="13"/>
      <c r="E775" s="3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</row>
    <row r="776" ht="13.5" customHeight="1">
      <c r="A776" s="2"/>
      <c r="B776" s="22"/>
      <c r="C776" s="2"/>
      <c r="D776" s="13"/>
      <c r="E776" s="3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</row>
    <row r="777" ht="13.5" customHeight="1">
      <c r="A777" s="2"/>
      <c r="B777" s="22"/>
      <c r="C777" s="2"/>
      <c r="D777" s="13"/>
      <c r="E777" s="3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</row>
    <row r="778" ht="13.5" customHeight="1">
      <c r="A778" s="2"/>
      <c r="B778" s="22"/>
      <c r="C778" s="2"/>
      <c r="D778" s="13"/>
      <c r="E778" s="3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</row>
    <row r="779" ht="13.5" customHeight="1">
      <c r="A779" s="2"/>
      <c r="B779" s="22"/>
      <c r="C779" s="2"/>
      <c r="D779" s="13"/>
      <c r="E779" s="3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</row>
    <row r="780" ht="13.5" customHeight="1">
      <c r="A780" s="2"/>
      <c r="B780" s="22"/>
      <c r="C780" s="2"/>
      <c r="D780" s="13"/>
      <c r="E780" s="3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</row>
    <row r="781" ht="13.5" customHeight="1">
      <c r="A781" s="2"/>
      <c r="B781" s="22"/>
      <c r="C781" s="2"/>
      <c r="D781" s="13"/>
      <c r="E781" s="3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</row>
    <row r="782" ht="13.5" customHeight="1">
      <c r="A782" s="2"/>
      <c r="B782" s="22"/>
      <c r="C782" s="2"/>
      <c r="D782" s="13"/>
      <c r="E782" s="3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</row>
    <row r="783" ht="13.5" customHeight="1">
      <c r="A783" s="2"/>
      <c r="B783" s="22"/>
      <c r="C783" s="2"/>
      <c r="D783" s="13"/>
      <c r="E783" s="3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</row>
    <row r="784" ht="13.5" customHeight="1">
      <c r="A784" s="2"/>
      <c r="B784" s="22"/>
      <c r="C784" s="2"/>
      <c r="D784" s="13"/>
      <c r="E784" s="3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</row>
    <row r="785" ht="13.5" customHeight="1">
      <c r="A785" s="2"/>
      <c r="B785" s="22"/>
      <c r="C785" s="2"/>
      <c r="D785" s="13"/>
      <c r="E785" s="3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</row>
    <row r="786" ht="13.5" customHeight="1">
      <c r="A786" s="2"/>
      <c r="B786" s="22"/>
      <c r="C786" s="2"/>
      <c r="D786" s="13"/>
      <c r="E786" s="3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</row>
    <row r="787" ht="13.5" customHeight="1">
      <c r="A787" s="2"/>
      <c r="B787" s="22"/>
      <c r="C787" s="2"/>
      <c r="D787" s="13"/>
      <c r="E787" s="3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</row>
    <row r="788" ht="13.5" customHeight="1">
      <c r="A788" s="2"/>
      <c r="B788" s="22"/>
      <c r="C788" s="2"/>
      <c r="D788" s="13"/>
      <c r="E788" s="3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</row>
    <row r="789" ht="13.5" customHeight="1">
      <c r="A789" s="2"/>
      <c r="B789" s="22"/>
      <c r="C789" s="2"/>
      <c r="D789" s="13"/>
      <c r="E789" s="3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</row>
    <row r="790" ht="13.5" customHeight="1">
      <c r="A790" s="2"/>
      <c r="B790" s="22"/>
      <c r="C790" s="2"/>
      <c r="D790" s="13"/>
      <c r="E790" s="3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</row>
    <row r="791" ht="13.5" customHeight="1">
      <c r="A791" s="2"/>
      <c r="B791" s="22"/>
      <c r="C791" s="2"/>
      <c r="D791" s="13"/>
      <c r="E791" s="3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</row>
    <row r="792" ht="13.5" customHeight="1">
      <c r="A792" s="2"/>
      <c r="B792" s="22"/>
      <c r="C792" s="2"/>
      <c r="D792" s="13"/>
      <c r="E792" s="3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</row>
    <row r="793" ht="13.5" customHeight="1">
      <c r="A793" s="2"/>
      <c r="B793" s="22"/>
      <c r="C793" s="2"/>
      <c r="D793" s="13"/>
      <c r="E793" s="3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</row>
    <row r="794" ht="13.5" customHeight="1">
      <c r="A794" s="2"/>
      <c r="B794" s="22"/>
      <c r="C794" s="2"/>
      <c r="D794" s="13"/>
      <c r="E794" s="3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</row>
    <row r="795" ht="13.5" customHeight="1">
      <c r="A795" s="2"/>
      <c r="B795" s="22"/>
      <c r="C795" s="2"/>
      <c r="D795" s="13"/>
      <c r="E795" s="3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</row>
    <row r="796" ht="13.5" customHeight="1">
      <c r="A796" s="2"/>
      <c r="B796" s="22"/>
      <c r="C796" s="2"/>
      <c r="D796" s="13"/>
      <c r="E796" s="3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</row>
    <row r="797" ht="13.5" customHeight="1">
      <c r="A797" s="2"/>
      <c r="B797" s="22"/>
      <c r="C797" s="2"/>
      <c r="D797" s="13"/>
      <c r="E797" s="3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</row>
    <row r="798" ht="13.5" customHeight="1">
      <c r="A798" s="2"/>
      <c r="B798" s="22"/>
      <c r="C798" s="2"/>
      <c r="D798" s="13"/>
      <c r="E798" s="3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</row>
    <row r="799" ht="13.5" customHeight="1">
      <c r="A799" s="2"/>
      <c r="B799" s="22"/>
      <c r="C799" s="2"/>
      <c r="D799" s="13"/>
      <c r="E799" s="3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</row>
    <row r="800" ht="13.5" customHeight="1">
      <c r="A800" s="2"/>
      <c r="B800" s="22"/>
      <c r="C800" s="2"/>
      <c r="D800" s="13"/>
      <c r="E800" s="3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</row>
    <row r="801" ht="13.5" customHeight="1">
      <c r="A801" s="2"/>
      <c r="B801" s="22"/>
      <c r="C801" s="2"/>
      <c r="D801" s="13"/>
      <c r="E801" s="3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</row>
    <row r="802" ht="13.5" customHeight="1">
      <c r="A802" s="2"/>
      <c r="B802" s="22"/>
      <c r="C802" s="2"/>
      <c r="D802" s="13"/>
      <c r="E802" s="3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</row>
    <row r="803" ht="13.5" customHeight="1">
      <c r="A803" s="2"/>
      <c r="B803" s="22"/>
      <c r="C803" s="2"/>
      <c r="D803" s="13"/>
      <c r="E803" s="3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</row>
    <row r="804" ht="13.5" customHeight="1">
      <c r="A804" s="2"/>
      <c r="B804" s="22"/>
      <c r="C804" s="2"/>
      <c r="D804" s="13"/>
      <c r="E804" s="3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</row>
    <row r="805" ht="13.5" customHeight="1">
      <c r="A805" s="2"/>
      <c r="B805" s="22"/>
      <c r="C805" s="2"/>
      <c r="D805" s="13"/>
      <c r="E805" s="3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</row>
    <row r="806" ht="13.5" customHeight="1">
      <c r="A806" s="2"/>
      <c r="B806" s="22"/>
      <c r="C806" s="2"/>
      <c r="D806" s="13"/>
      <c r="E806" s="3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</row>
    <row r="807" ht="13.5" customHeight="1">
      <c r="A807" s="2"/>
      <c r="B807" s="22"/>
      <c r="C807" s="2"/>
      <c r="D807" s="13"/>
      <c r="E807" s="3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</row>
    <row r="808" ht="13.5" customHeight="1">
      <c r="A808" s="2"/>
      <c r="B808" s="22"/>
      <c r="C808" s="2"/>
      <c r="D808" s="13"/>
      <c r="E808" s="3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</row>
    <row r="809" ht="13.5" customHeight="1">
      <c r="A809" s="2"/>
      <c r="B809" s="22"/>
      <c r="C809" s="2"/>
      <c r="D809" s="13"/>
      <c r="E809" s="3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</row>
    <row r="810" ht="13.5" customHeight="1">
      <c r="A810" s="2"/>
      <c r="B810" s="22"/>
      <c r="C810" s="2"/>
      <c r="D810" s="13"/>
      <c r="E810" s="3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</row>
    <row r="811" ht="13.5" customHeight="1">
      <c r="A811" s="2"/>
      <c r="B811" s="22"/>
      <c r="C811" s="2"/>
      <c r="D811" s="13"/>
      <c r="E811" s="3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</row>
    <row r="812" ht="13.5" customHeight="1">
      <c r="A812" s="2"/>
      <c r="B812" s="22"/>
      <c r="C812" s="2"/>
      <c r="D812" s="13"/>
      <c r="E812" s="3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</row>
    <row r="813" ht="13.5" customHeight="1">
      <c r="A813" s="2"/>
      <c r="B813" s="22"/>
      <c r="C813" s="2"/>
      <c r="D813" s="13"/>
      <c r="E813" s="3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</row>
    <row r="814" ht="13.5" customHeight="1">
      <c r="A814" s="2"/>
      <c r="B814" s="22"/>
      <c r="C814" s="2"/>
      <c r="D814" s="13"/>
      <c r="E814" s="3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</row>
    <row r="815" ht="13.5" customHeight="1">
      <c r="A815" s="2"/>
      <c r="B815" s="22"/>
      <c r="C815" s="2"/>
      <c r="D815" s="13"/>
      <c r="E815" s="3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</row>
    <row r="816" ht="13.5" customHeight="1">
      <c r="A816" s="2"/>
      <c r="B816" s="22"/>
      <c r="C816" s="2"/>
      <c r="D816" s="13"/>
      <c r="E816" s="3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</row>
    <row r="817" ht="13.5" customHeight="1">
      <c r="A817" s="2"/>
      <c r="B817" s="22"/>
      <c r="C817" s="2"/>
      <c r="D817" s="13"/>
      <c r="E817" s="3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</row>
    <row r="818" ht="13.5" customHeight="1">
      <c r="A818" s="2"/>
      <c r="B818" s="22"/>
      <c r="C818" s="2"/>
      <c r="D818" s="13"/>
      <c r="E818" s="3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</row>
    <row r="819" ht="13.5" customHeight="1">
      <c r="A819" s="2"/>
      <c r="B819" s="22"/>
      <c r="C819" s="2"/>
      <c r="D819" s="13"/>
      <c r="E819" s="3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</row>
    <row r="820" ht="13.5" customHeight="1">
      <c r="A820" s="2"/>
      <c r="B820" s="22"/>
      <c r="C820" s="2"/>
      <c r="D820" s="13"/>
      <c r="E820" s="3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</row>
    <row r="821" ht="13.5" customHeight="1">
      <c r="A821" s="2"/>
      <c r="B821" s="22"/>
      <c r="C821" s="2"/>
      <c r="D821" s="13"/>
      <c r="E821" s="3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</row>
    <row r="822" ht="13.5" customHeight="1">
      <c r="A822" s="2"/>
      <c r="B822" s="22"/>
      <c r="C822" s="2"/>
      <c r="D822" s="13"/>
      <c r="E822" s="3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</row>
    <row r="823" ht="13.5" customHeight="1">
      <c r="A823" s="2"/>
      <c r="B823" s="22"/>
      <c r="C823" s="2"/>
      <c r="D823" s="13"/>
      <c r="E823" s="3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</row>
    <row r="824" ht="13.5" customHeight="1">
      <c r="A824" s="2"/>
      <c r="B824" s="22"/>
      <c r="C824" s="2"/>
      <c r="D824" s="13"/>
      <c r="E824" s="3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</row>
    <row r="825" ht="13.5" customHeight="1">
      <c r="A825" s="2"/>
      <c r="B825" s="22"/>
      <c r="C825" s="2"/>
      <c r="D825" s="13"/>
      <c r="E825" s="3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</row>
    <row r="826" ht="13.5" customHeight="1">
      <c r="A826" s="2"/>
      <c r="B826" s="22"/>
      <c r="C826" s="2"/>
      <c r="D826" s="13"/>
      <c r="E826" s="3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</row>
    <row r="827" ht="13.5" customHeight="1">
      <c r="A827" s="2"/>
      <c r="B827" s="22"/>
      <c r="C827" s="2"/>
      <c r="D827" s="13"/>
      <c r="E827" s="3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</row>
    <row r="828" ht="13.5" customHeight="1">
      <c r="A828" s="2"/>
      <c r="B828" s="22"/>
      <c r="C828" s="2"/>
      <c r="D828" s="13"/>
      <c r="E828" s="3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</row>
    <row r="829" ht="13.5" customHeight="1">
      <c r="A829" s="2"/>
      <c r="B829" s="22"/>
      <c r="C829" s="2"/>
      <c r="D829" s="13"/>
      <c r="E829" s="3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</row>
    <row r="830" ht="13.5" customHeight="1">
      <c r="A830" s="2"/>
      <c r="B830" s="22"/>
      <c r="C830" s="2"/>
      <c r="D830" s="13"/>
      <c r="E830" s="3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</row>
    <row r="831" ht="13.5" customHeight="1">
      <c r="A831" s="2"/>
      <c r="B831" s="22"/>
      <c r="C831" s="2"/>
      <c r="D831" s="13"/>
      <c r="E831" s="3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</row>
    <row r="832" ht="13.5" customHeight="1">
      <c r="A832" s="2"/>
      <c r="B832" s="22"/>
      <c r="C832" s="2"/>
      <c r="D832" s="13"/>
      <c r="E832" s="3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</row>
    <row r="833" ht="13.5" customHeight="1">
      <c r="A833" s="2"/>
      <c r="B833" s="22"/>
      <c r="C833" s="2"/>
      <c r="D833" s="13"/>
      <c r="E833" s="3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</row>
    <row r="834" ht="13.5" customHeight="1">
      <c r="A834" s="2"/>
      <c r="B834" s="22"/>
      <c r="C834" s="2"/>
      <c r="D834" s="13"/>
      <c r="E834" s="3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</row>
    <row r="835" ht="13.5" customHeight="1">
      <c r="A835" s="2"/>
      <c r="B835" s="22"/>
      <c r="C835" s="2"/>
      <c r="D835" s="13"/>
      <c r="E835" s="3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</row>
    <row r="836" ht="13.5" customHeight="1">
      <c r="A836" s="2"/>
      <c r="B836" s="22"/>
      <c r="C836" s="2"/>
      <c r="D836" s="13"/>
      <c r="E836" s="3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</row>
    <row r="837" ht="13.5" customHeight="1">
      <c r="A837" s="2"/>
      <c r="B837" s="22"/>
      <c r="C837" s="2"/>
      <c r="D837" s="13"/>
      <c r="E837" s="3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</row>
    <row r="838" ht="13.5" customHeight="1">
      <c r="A838" s="2"/>
      <c r="B838" s="22"/>
      <c r="C838" s="2"/>
      <c r="D838" s="13"/>
      <c r="E838" s="3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</row>
    <row r="839" ht="13.5" customHeight="1">
      <c r="A839" s="2"/>
      <c r="B839" s="22"/>
      <c r="C839" s="2"/>
      <c r="D839" s="13"/>
      <c r="E839" s="3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</row>
    <row r="840" ht="13.5" customHeight="1">
      <c r="A840" s="2"/>
      <c r="B840" s="22"/>
      <c r="C840" s="2"/>
      <c r="D840" s="13"/>
      <c r="E840" s="3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</row>
    <row r="841" ht="13.5" customHeight="1">
      <c r="A841" s="2"/>
      <c r="B841" s="22"/>
      <c r="C841" s="2"/>
      <c r="D841" s="13"/>
      <c r="E841" s="3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</row>
    <row r="842" ht="13.5" customHeight="1">
      <c r="A842" s="2"/>
      <c r="B842" s="22"/>
      <c r="C842" s="2"/>
      <c r="D842" s="13"/>
      <c r="E842" s="3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</row>
    <row r="843" ht="13.5" customHeight="1">
      <c r="A843" s="2"/>
      <c r="B843" s="22"/>
      <c r="C843" s="2"/>
      <c r="D843" s="13"/>
      <c r="E843" s="3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</row>
    <row r="844" ht="13.5" customHeight="1">
      <c r="A844" s="2"/>
      <c r="B844" s="22"/>
      <c r="C844" s="2"/>
      <c r="D844" s="13"/>
      <c r="E844" s="3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</row>
    <row r="845" ht="13.5" customHeight="1">
      <c r="A845" s="2"/>
      <c r="B845" s="22"/>
      <c r="C845" s="2"/>
      <c r="D845" s="13"/>
      <c r="E845" s="3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</row>
    <row r="846" ht="13.5" customHeight="1">
      <c r="A846" s="2"/>
      <c r="B846" s="22"/>
      <c r="C846" s="2"/>
      <c r="D846" s="13"/>
      <c r="E846" s="3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</row>
    <row r="847" ht="13.5" customHeight="1">
      <c r="A847" s="2"/>
      <c r="B847" s="22"/>
      <c r="C847" s="2"/>
      <c r="D847" s="13"/>
      <c r="E847" s="3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</row>
    <row r="848" ht="13.5" customHeight="1">
      <c r="A848" s="2"/>
      <c r="B848" s="22"/>
      <c r="C848" s="2"/>
      <c r="D848" s="13"/>
      <c r="E848" s="3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</row>
    <row r="849" ht="13.5" customHeight="1">
      <c r="A849" s="2"/>
      <c r="B849" s="22"/>
      <c r="C849" s="2"/>
      <c r="D849" s="13"/>
      <c r="E849" s="3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</row>
    <row r="850" ht="13.5" customHeight="1">
      <c r="A850" s="2"/>
      <c r="B850" s="22"/>
      <c r="C850" s="2"/>
      <c r="D850" s="13"/>
      <c r="E850" s="3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</row>
    <row r="851" ht="13.5" customHeight="1">
      <c r="A851" s="2"/>
      <c r="B851" s="22"/>
      <c r="C851" s="2"/>
      <c r="D851" s="13"/>
      <c r="E851" s="3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</row>
    <row r="852" ht="13.5" customHeight="1">
      <c r="A852" s="2"/>
      <c r="B852" s="22"/>
      <c r="C852" s="2"/>
      <c r="D852" s="13"/>
      <c r="E852" s="3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</row>
    <row r="853" ht="13.5" customHeight="1">
      <c r="A853" s="2"/>
      <c r="B853" s="22"/>
      <c r="C853" s="2"/>
      <c r="D853" s="13"/>
      <c r="E853" s="3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</row>
    <row r="854" ht="13.5" customHeight="1">
      <c r="A854" s="2"/>
      <c r="B854" s="22"/>
      <c r="C854" s="2"/>
      <c r="D854" s="13"/>
      <c r="E854" s="3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</row>
    <row r="855" ht="13.5" customHeight="1">
      <c r="A855" s="2"/>
      <c r="B855" s="22"/>
      <c r="C855" s="2"/>
      <c r="D855" s="13"/>
      <c r="E855" s="3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</row>
    <row r="856" ht="13.5" customHeight="1">
      <c r="A856" s="2"/>
      <c r="B856" s="22"/>
      <c r="C856" s="2"/>
      <c r="D856" s="13"/>
      <c r="E856" s="3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</row>
    <row r="857" ht="13.5" customHeight="1">
      <c r="A857" s="2"/>
      <c r="B857" s="22"/>
      <c r="C857" s="2"/>
      <c r="D857" s="13"/>
      <c r="E857" s="3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</row>
    <row r="858" ht="13.5" customHeight="1">
      <c r="A858" s="2"/>
      <c r="B858" s="22"/>
      <c r="C858" s="2"/>
      <c r="D858" s="13"/>
      <c r="E858" s="3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</row>
    <row r="859" ht="13.5" customHeight="1">
      <c r="A859" s="2"/>
      <c r="B859" s="22"/>
      <c r="C859" s="2"/>
      <c r="D859" s="13"/>
      <c r="E859" s="3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</row>
    <row r="860" ht="13.5" customHeight="1">
      <c r="A860" s="2"/>
      <c r="B860" s="22"/>
      <c r="C860" s="2"/>
      <c r="D860" s="13"/>
      <c r="E860" s="3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</row>
    <row r="861" ht="13.5" customHeight="1">
      <c r="A861" s="2"/>
      <c r="B861" s="22"/>
      <c r="C861" s="2"/>
      <c r="D861" s="13"/>
      <c r="E861" s="3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</row>
    <row r="862" ht="13.5" customHeight="1">
      <c r="A862" s="2"/>
      <c r="B862" s="22"/>
      <c r="C862" s="2"/>
      <c r="D862" s="13"/>
      <c r="E862" s="3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</row>
    <row r="863" ht="13.5" customHeight="1">
      <c r="A863" s="2"/>
      <c r="B863" s="22"/>
      <c r="C863" s="2"/>
      <c r="D863" s="13"/>
      <c r="E863" s="3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</row>
    <row r="864" ht="13.5" customHeight="1">
      <c r="A864" s="2"/>
      <c r="B864" s="22"/>
      <c r="C864" s="2"/>
      <c r="D864" s="13"/>
      <c r="E864" s="3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</row>
    <row r="865" ht="13.5" customHeight="1">
      <c r="A865" s="2"/>
      <c r="B865" s="22"/>
      <c r="C865" s="2"/>
      <c r="D865" s="13"/>
      <c r="E865" s="3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</row>
    <row r="866" ht="13.5" customHeight="1">
      <c r="A866" s="2"/>
      <c r="B866" s="22"/>
      <c r="C866" s="2"/>
      <c r="D866" s="13"/>
      <c r="E866" s="3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</row>
    <row r="867" ht="13.5" customHeight="1">
      <c r="A867" s="2"/>
      <c r="B867" s="22"/>
      <c r="C867" s="2"/>
      <c r="D867" s="13"/>
      <c r="E867" s="3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</row>
    <row r="868" ht="13.5" customHeight="1">
      <c r="A868" s="2"/>
      <c r="B868" s="22"/>
      <c r="C868" s="2"/>
      <c r="D868" s="13"/>
      <c r="E868" s="3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</row>
    <row r="869" ht="13.5" customHeight="1">
      <c r="A869" s="2"/>
      <c r="B869" s="22"/>
      <c r="C869" s="2"/>
      <c r="D869" s="13"/>
      <c r="E869" s="3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</row>
    <row r="870" ht="13.5" customHeight="1">
      <c r="A870" s="2"/>
      <c r="B870" s="22"/>
      <c r="C870" s="2"/>
      <c r="D870" s="13"/>
      <c r="E870" s="3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</row>
    <row r="871" ht="13.5" customHeight="1">
      <c r="A871" s="2"/>
      <c r="B871" s="22"/>
      <c r="C871" s="2"/>
      <c r="D871" s="13"/>
      <c r="E871" s="3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</row>
    <row r="872" ht="13.5" customHeight="1">
      <c r="A872" s="2"/>
      <c r="B872" s="22"/>
      <c r="C872" s="2"/>
      <c r="D872" s="13"/>
      <c r="E872" s="3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</row>
    <row r="873" ht="13.5" customHeight="1">
      <c r="A873" s="2"/>
      <c r="B873" s="22"/>
      <c r="C873" s="2"/>
      <c r="D873" s="13"/>
      <c r="E873" s="3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</row>
    <row r="874" ht="13.5" customHeight="1">
      <c r="A874" s="2"/>
      <c r="B874" s="22"/>
      <c r="C874" s="2"/>
      <c r="D874" s="13"/>
      <c r="E874" s="3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</row>
    <row r="875" ht="13.5" customHeight="1">
      <c r="A875" s="2"/>
      <c r="B875" s="22"/>
      <c r="C875" s="2"/>
      <c r="D875" s="13"/>
      <c r="E875" s="3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</row>
    <row r="876" ht="13.5" customHeight="1">
      <c r="A876" s="2"/>
      <c r="B876" s="22"/>
      <c r="C876" s="2"/>
      <c r="D876" s="13"/>
      <c r="E876" s="3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</row>
    <row r="877" ht="13.5" customHeight="1">
      <c r="A877" s="2"/>
      <c r="B877" s="22"/>
      <c r="C877" s="2"/>
      <c r="D877" s="13"/>
      <c r="E877" s="3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</row>
    <row r="878" ht="13.5" customHeight="1">
      <c r="A878" s="2"/>
      <c r="B878" s="22"/>
      <c r="C878" s="2"/>
      <c r="D878" s="13"/>
      <c r="E878" s="3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</row>
    <row r="879" ht="13.5" customHeight="1">
      <c r="A879" s="2"/>
      <c r="B879" s="22"/>
      <c r="C879" s="2"/>
      <c r="D879" s="13"/>
      <c r="E879" s="3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</row>
    <row r="880" ht="13.5" customHeight="1">
      <c r="A880" s="2"/>
      <c r="B880" s="22"/>
      <c r="C880" s="2"/>
      <c r="D880" s="13"/>
      <c r="E880" s="3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</row>
    <row r="881" ht="13.5" customHeight="1">
      <c r="A881" s="2"/>
      <c r="B881" s="22"/>
      <c r="C881" s="2"/>
      <c r="D881" s="13"/>
      <c r="E881" s="3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</row>
    <row r="882" ht="13.5" customHeight="1">
      <c r="A882" s="2"/>
      <c r="B882" s="22"/>
      <c r="C882" s="2"/>
      <c r="D882" s="13"/>
      <c r="E882" s="3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</row>
    <row r="883" ht="13.5" customHeight="1">
      <c r="A883" s="2"/>
      <c r="B883" s="22"/>
      <c r="C883" s="2"/>
      <c r="D883" s="13"/>
      <c r="E883" s="3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</row>
    <row r="884" ht="13.5" customHeight="1">
      <c r="A884" s="2"/>
      <c r="B884" s="22"/>
      <c r="C884" s="2"/>
      <c r="D884" s="13"/>
      <c r="E884" s="3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</row>
    <row r="885" ht="13.5" customHeight="1">
      <c r="A885" s="2"/>
      <c r="B885" s="22"/>
      <c r="C885" s="2"/>
      <c r="D885" s="13"/>
      <c r="E885" s="3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</row>
    <row r="886" ht="13.5" customHeight="1">
      <c r="A886" s="2"/>
      <c r="B886" s="22"/>
      <c r="C886" s="2"/>
      <c r="D886" s="13"/>
      <c r="E886" s="3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</row>
    <row r="887" ht="13.5" customHeight="1">
      <c r="A887" s="2"/>
      <c r="B887" s="22"/>
      <c r="C887" s="2"/>
      <c r="D887" s="13"/>
      <c r="E887" s="3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</row>
    <row r="888" ht="13.5" customHeight="1">
      <c r="A888" s="2"/>
      <c r="B888" s="22"/>
      <c r="C888" s="2"/>
      <c r="D888" s="13"/>
      <c r="E888" s="3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</row>
    <row r="889" ht="13.5" customHeight="1">
      <c r="A889" s="2"/>
      <c r="B889" s="22"/>
      <c r="C889" s="2"/>
      <c r="D889" s="13"/>
      <c r="E889" s="3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</row>
    <row r="890" ht="13.5" customHeight="1">
      <c r="A890" s="2"/>
      <c r="B890" s="22"/>
      <c r="C890" s="2"/>
      <c r="D890" s="13"/>
      <c r="E890" s="3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</row>
    <row r="891" ht="13.5" customHeight="1">
      <c r="A891" s="2"/>
      <c r="B891" s="22"/>
      <c r="C891" s="2"/>
      <c r="D891" s="13"/>
      <c r="E891" s="3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</row>
    <row r="892" ht="13.5" customHeight="1">
      <c r="A892" s="2"/>
      <c r="B892" s="22"/>
      <c r="C892" s="2"/>
      <c r="D892" s="13"/>
      <c r="E892" s="3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</row>
    <row r="893" ht="13.5" customHeight="1">
      <c r="A893" s="2"/>
      <c r="B893" s="22"/>
      <c r="C893" s="2"/>
      <c r="D893" s="13"/>
      <c r="E893" s="3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</row>
    <row r="894" ht="13.5" customHeight="1">
      <c r="A894" s="2"/>
      <c r="B894" s="22"/>
      <c r="C894" s="2"/>
      <c r="D894" s="13"/>
      <c r="E894" s="3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</row>
    <row r="895" ht="13.5" customHeight="1">
      <c r="A895" s="2"/>
      <c r="B895" s="22"/>
      <c r="C895" s="2"/>
      <c r="D895" s="13"/>
      <c r="E895" s="3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</row>
    <row r="896" ht="13.5" customHeight="1">
      <c r="A896" s="2"/>
      <c r="B896" s="22"/>
      <c r="C896" s="2"/>
      <c r="D896" s="13"/>
      <c r="E896" s="3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</row>
    <row r="897" ht="13.5" customHeight="1">
      <c r="A897" s="2"/>
      <c r="B897" s="22"/>
      <c r="C897" s="2"/>
      <c r="D897" s="13"/>
      <c r="E897" s="3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</row>
    <row r="898" ht="13.5" customHeight="1">
      <c r="A898" s="2"/>
      <c r="B898" s="22"/>
      <c r="C898" s="2"/>
      <c r="D898" s="13"/>
      <c r="E898" s="3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</row>
    <row r="899" ht="13.5" customHeight="1">
      <c r="A899" s="2"/>
      <c r="B899" s="22"/>
      <c r="C899" s="2"/>
      <c r="D899" s="13"/>
      <c r="E899" s="3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</row>
    <row r="900" ht="13.5" customHeight="1">
      <c r="A900" s="2"/>
      <c r="B900" s="22"/>
      <c r="C900" s="2"/>
      <c r="D900" s="13"/>
      <c r="E900" s="3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</row>
    <row r="901" ht="13.5" customHeight="1">
      <c r="A901" s="2"/>
      <c r="B901" s="22"/>
      <c r="C901" s="2"/>
      <c r="D901" s="13"/>
      <c r="E901" s="3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</row>
    <row r="902" ht="13.5" customHeight="1">
      <c r="A902" s="2"/>
      <c r="B902" s="22"/>
      <c r="C902" s="2"/>
      <c r="D902" s="13"/>
      <c r="E902" s="3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</row>
    <row r="903" ht="13.5" customHeight="1">
      <c r="A903" s="2"/>
      <c r="B903" s="22"/>
      <c r="C903" s="2"/>
      <c r="D903" s="13"/>
      <c r="E903" s="3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</row>
    <row r="904" ht="13.5" customHeight="1">
      <c r="A904" s="2"/>
      <c r="B904" s="22"/>
      <c r="C904" s="2"/>
      <c r="D904" s="13"/>
      <c r="E904" s="3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</row>
    <row r="905" ht="13.5" customHeight="1">
      <c r="A905" s="2"/>
      <c r="B905" s="22"/>
      <c r="C905" s="2"/>
      <c r="D905" s="13"/>
      <c r="E905" s="3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</row>
    <row r="906" ht="13.5" customHeight="1">
      <c r="A906" s="2"/>
      <c r="B906" s="22"/>
      <c r="C906" s="2"/>
      <c r="D906" s="13"/>
      <c r="E906" s="3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</row>
    <row r="907" ht="13.5" customHeight="1">
      <c r="A907" s="2"/>
      <c r="B907" s="22"/>
      <c r="C907" s="2"/>
      <c r="D907" s="13"/>
      <c r="E907" s="3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</row>
    <row r="908" ht="13.5" customHeight="1">
      <c r="A908" s="2"/>
      <c r="B908" s="22"/>
      <c r="C908" s="2"/>
      <c r="D908" s="13"/>
      <c r="E908" s="3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</row>
    <row r="909" ht="13.5" customHeight="1">
      <c r="A909" s="2"/>
      <c r="B909" s="22"/>
      <c r="C909" s="2"/>
      <c r="D909" s="13"/>
      <c r="E909" s="3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</row>
    <row r="910" ht="13.5" customHeight="1">
      <c r="A910" s="2"/>
      <c r="B910" s="22"/>
      <c r="C910" s="2"/>
      <c r="D910" s="13"/>
      <c r="E910" s="3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</row>
    <row r="911" ht="13.5" customHeight="1">
      <c r="A911" s="2"/>
      <c r="B911" s="22"/>
      <c r="C911" s="2"/>
      <c r="D911" s="13"/>
      <c r="E911" s="3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</row>
    <row r="912" ht="13.5" customHeight="1">
      <c r="A912" s="2"/>
      <c r="B912" s="22"/>
      <c r="C912" s="2"/>
      <c r="D912" s="13"/>
      <c r="E912" s="3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</row>
    <row r="913" ht="13.5" customHeight="1">
      <c r="A913" s="2"/>
      <c r="B913" s="22"/>
      <c r="C913" s="2"/>
      <c r="D913" s="13"/>
      <c r="E913" s="3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</row>
    <row r="914" ht="13.5" customHeight="1">
      <c r="A914" s="2"/>
      <c r="B914" s="22"/>
      <c r="C914" s="2"/>
      <c r="D914" s="13"/>
      <c r="E914" s="3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</row>
    <row r="915" ht="13.5" customHeight="1">
      <c r="A915" s="2"/>
      <c r="B915" s="22"/>
      <c r="C915" s="2"/>
      <c r="D915" s="13"/>
      <c r="E915" s="3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</row>
    <row r="916" ht="13.5" customHeight="1">
      <c r="A916" s="2"/>
      <c r="B916" s="22"/>
      <c r="C916" s="2"/>
      <c r="D916" s="13"/>
      <c r="E916" s="3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</row>
    <row r="917" ht="13.5" customHeight="1">
      <c r="A917" s="2"/>
      <c r="B917" s="22"/>
      <c r="C917" s="2"/>
      <c r="D917" s="13"/>
      <c r="E917" s="3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</row>
    <row r="918" ht="13.5" customHeight="1">
      <c r="A918" s="2"/>
      <c r="B918" s="22"/>
      <c r="C918" s="2"/>
      <c r="D918" s="13"/>
      <c r="E918" s="3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</row>
    <row r="919" ht="13.5" customHeight="1">
      <c r="A919" s="2"/>
      <c r="B919" s="22"/>
      <c r="C919" s="2"/>
      <c r="D919" s="13"/>
      <c r="E919" s="3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</row>
    <row r="920" ht="13.5" customHeight="1">
      <c r="A920" s="2"/>
      <c r="B920" s="22"/>
      <c r="C920" s="2"/>
      <c r="D920" s="13"/>
      <c r="E920" s="3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</row>
    <row r="921" ht="13.5" customHeight="1">
      <c r="A921" s="2"/>
      <c r="B921" s="22"/>
      <c r="C921" s="2"/>
      <c r="D921" s="13"/>
      <c r="E921" s="3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</row>
    <row r="922" ht="13.5" customHeight="1">
      <c r="A922" s="2"/>
      <c r="B922" s="22"/>
      <c r="C922" s="2"/>
      <c r="D922" s="13"/>
      <c r="E922" s="3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</row>
    <row r="923" ht="13.5" customHeight="1">
      <c r="A923" s="2"/>
      <c r="B923" s="22"/>
      <c r="C923" s="2"/>
      <c r="D923" s="13"/>
      <c r="E923" s="3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</row>
    <row r="924" ht="13.5" customHeight="1">
      <c r="A924" s="2"/>
      <c r="B924" s="22"/>
      <c r="C924" s="2"/>
      <c r="D924" s="13"/>
      <c r="E924" s="3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</row>
    <row r="925" ht="13.5" customHeight="1">
      <c r="A925" s="2"/>
      <c r="B925" s="22"/>
      <c r="C925" s="2"/>
      <c r="D925" s="13"/>
      <c r="E925" s="3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</row>
    <row r="926" ht="13.5" customHeight="1">
      <c r="A926" s="2"/>
      <c r="B926" s="22"/>
      <c r="C926" s="2"/>
      <c r="D926" s="13"/>
      <c r="E926" s="3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</row>
    <row r="927" ht="13.5" customHeight="1">
      <c r="A927" s="2"/>
      <c r="B927" s="22"/>
      <c r="C927" s="2"/>
      <c r="D927" s="13"/>
      <c r="E927" s="3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</row>
    <row r="928" ht="13.5" customHeight="1">
      <c r="A928" s="2"/>
      <c r="B928" s="22"/>
      <c r="C928" s="2"/>
      <c r="D928" s="13"/>
      <c r="E928" s="3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</row>
    <row r="929" ht="13.5" customHeight="1">
      <c r="A929" s="2"/>
      <c r="B929" s="22"/>
      <c r="C929" s="2"/>
      <c r="D929" s="13"/>
      <c r="E929" s="3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</row>
    <row r="930" ht="13.5" customHeight="1">
      <c r="A930" s="2"/>
      <c r="B930" s="22"/>
      <c r="C930" s="2"/>
      <c r="D930" s="13"/>
      <c r="E930" s="3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</row>
    <row r="931" ht="13.5" customHeight="1">
      <c r="A931" s="2"/>
      <c r="B931" s="22"/>
      <c r="C931" s="2"/>
      <c r="D931" s="13"/>
      <c r="E931" s="3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</row>
    <row r="932" ht="13.5" customHeight="1">
      <c r="A932" s="2"/>
      <c r="B932" s="22"/>
      <c r="C932" s="2"/>
      <c r="D932" s="13"/>
      <c r="E932" s="3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</row>
    <row r="933" ht="13.5" customHeight="1">
      <c r="A933" s="2"/>
      <c r="B933" s="22"/>
      <c r="C933" s="2"/>
      <c r="D933" s="13"/>
      <c r="E933" s="3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</row>
    <row r="934" ht="13.5" customHeight="1">
      <c r="A934" s="2"/>
      <c r="B934" s="22"/>
      <c r="C934" s="2"/>
      <c r="D934" s="13"/>
      <c r="E934" s="3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</row>
    <row r="935" ht="13.5" customHeight="1">
      <c r="A935" s="2"/>
      <c r="B935" s="22"/>
      <c r="C935" s="2"/>
      <c r="D935" s="13"/>
      <c r="E935" s="3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</row>
    <row r="936" ht="13.5" customHeight="1">
      <c r="A936" s="2"/>
      <c r="B936" s="22"/>
      <c r="C936" s="2"/>
      <c r="D936" s="13"/>
      <c r="E936" s="3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</row>
    <row r="937" ht="13.5" customHeight="1">
      <c r="A937" s="2"/>
      <c r="B937" s="22"/>
      <c r="C937" s="2"/>
      <c r="D937" s="13"/>
      <c r="E937" s="3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</row>
    <row r="938" ht="13.5" customHeight="1">
      <c r="A938" s="2"/>
      <c r="B938" s="22"/>
      <c r="C938" s="2"/>
      <c r="D938" s="13"/>
      <c r="E938" s="3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</row>
    <row r="939" ht="13.5" customHeight="1">
      <c r="A939" s="2"/>
      <c r="B939" s="22"/>
      <c r="C939" s="2"/>
      <c r="D939" s="13"/>
      <c r="E939" s="3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</row>
    <row r="940" ht="13.5" customHeight="1">
      <c r="A940" s="2"/>
      <c r="B940" s="22"/>
      <c r="C940" s="2"/>
      <c r="D940" s="13"/>
      <c r="E940" s="3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</row>
    <row r="941" ht="13.5" customHeight="1">
      <c r="A941" s="2"/>
      <c r="B941" s="22"/>
      <c r="C941" s="2"/>
      <c r="D941" s="13"/>
      <c r="E941" s="3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</row>
    <row r="942" ht="13.5" customHeight="1">
      <c r="A942" s="2"/>
      <c r="B942" s="22"/>
      <c r="C942" s="2"/>
      <c r="D942" s="13"/>
      <c r="E942" s="3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</row>
    <row r="943" ht="13.5" customHeight="1">
      <c r="A943" s="2"/>
      <c r="B943" s="22"/>
      <c r="C943" s="2"/>
      <c r="D943" s="13"/>
      <c r="E943" s="3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</row>
    <row r="944" ht="13.5" customHeight="1">
      <c r="A944" s="2"/>
      <c r="B944" s="22"/>
      <c r="C944" s="2"/>
      <c r="D944" s="13"/>
      <c r="E944" s="3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</row>
    <row r="945" ht="13.5" customHeight="1">
      <c r="A945" s="2"/>
      <c r="B945" s="22"/>
      <c r="C945" s="2"/>
      <c r="D945" s="13"/>
      <c r="E945" s="3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</row>
    <row r="946" ht="13.5" customHeight="1">
      <c r="A946" s="2"/>
      <c r="B946" s="22"/>
      <c r="C946" s="2"/>
      <c r="D946" s="13"/>
      <c r="E946" s="3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</row>
    <row r="947" ht="13.5" customHeight="1">
      <c r="A947" s="2"/>
      <c r="B947" s="22"/>
      <c r="C947" s="2"/>
      <c r="D947" s="13"/>
      <c r="E947" s="3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</row>
    <row r="948" ht="13.5" customHeight="1">
      <c r="A948" s="2"/>
      <c r="B948" s="22"/>
      <c r="C948" s="2"/>
      <c r="D948" s="13"/>
      <c r="E948" s="3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</row>
    <row r="949" ht="13.5" customHeight="1">
      <c r="A949" s="2"/>
      <c r="B949" s="22"/>
      <c r="C949" s="2"/>
      <c r="D949" s="13"/>
      <c r="E949" s="3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</row>
    <row r="950" ht="13.5" customHeight="1">
      <c r="A950" s="2"/>
      <c r="B950" s="22"/>
      <c r="C950" s="2"/>
      <c r="D950" s="13"/>
      <c r="E950" s="3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</row>
    <row r="951" ht="13.5" customHeight="1">
      <c r="A951" s="2"/>
      <c r="B951" s="22"/>
      <c r="C951" s="2"/>
      <c r="D951" s="13"/>
      <c r="E951" s="3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</row>
    <row r="952" ht="13.5" customHeight="1">
      <c r="A952" s="2"/>
      <c r="B952" s="22"/>
      <c r="C952" s="2"/>
      <c r="D952" s="13"/>
      <c r="E952" s="3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</row>
    <row r="953" ht="13.5" customHeight="1">
      <c r="A953" s="2"/>
      <c r="B953" s="22"/>
      <c r="C953" s="2"/>
      <c r="D953" s="13"/>
      <c r="E953" s="3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</row>
    <row r="954" ht="13.5" customHeight="1">
      <c r="A954" s="2"/>
      <c r="B954" s="22"/>
      <c r="C954" s="2"/>
      <c r="D954" s="13"/>
      <c r="E954" s="3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</row>
    <row r="955" ht="13.5" customHeight="1">
      <c r="A955" s="2"/>
      <c r="B955" s="22"/>
      <c r="C955" s="2"/>
      <c r="D955" s="13"/>
      <c r="E955" s="3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</row>
    <row r="956" ht="13.5" customHeight="1">
      <c r="A956" s="2"/>
      <c r="B956" s="22"/>
      <c r="C956" s="2"/>
      <c r="D956" s="13"/>
      <c r="E956" s="3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</row>
    <row r="957" ht="13.5" customHeight="1">
      <c r="A957" s="2"/>
      <c r="B957" s="22"/>
      <c r="C957" s="2"/>
      <c r="D957" s="13"/>
      <c r="E957" s="3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</row>
    <row r="958" ht="13.5" customHeight="1">
      <c r="A958" s="2"/>
      <c r="B958" s="22"/>
      <c r="C958" s="2"/>
      <c r="D958" s="13"/>
      <c r="E958" s="3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</row>
    <row r="959" ht="13.5" customHeight="1">
      <c r="A959" s="2"/>
      <c r="B959" s="22"/>
      <c r="C959" s="2"/>
      <c r="D959" s="13"/>
      <c r="E959" s="3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</row>
    <row r="960" ht="13.5" customHeight="1">
      <c r="A960" s="2"/>
      <c r="B960" s="22"/>
      <c r="C960" s="2"/>
      <c r="D960" s="13"/>
      <c r="E960" s="3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</row>
    <row r="961" ht="13.5" customHeight="1">
      <c r="A961" s="2"/>
      <c r="B961" s="22"/>
      <c r="C961" s="2"/>
      <c r="D961" s="13"/>
      <c r="E961" s="3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</row>
    <row r="962" ht="13.5" customHeight="1">
      <c r="A962" s="2"/>
      <c r="B962" s="22"/>
      <c r="C962" s="2"/>
      <c r="D962" s="13"/>
      <c r="E962" s="3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</row>
    <row r="963" ht="13.5" customHeight="1">
      <c r="A963" s="2"/>
      <c r="B963" s="22"/>
      <c r="C963" s="2"/>
      <c r="D963" s="13"/>
      <c r="E963" s="3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</row>
    <row r="964" ht="13.5" customHeight="1">
      <c r="A964" s="2"/>
      <c r="B964" s="22"/>
      <c r="C964" s="2"/>
      <c r="D964" s="13"/>
      <c r="E964" s="3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</row>
    <row r="965" ht="13.5" customHeight="1">
      <c r="A965" s="2"/>
      <c r="B965" s="22"/>
      <c r="C965" s="2"/>
      <c r="D965" s="13"/>
      <c r="E965" s="3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</row>
    <row r="966" ht="13.5" customHeight="1">
      <c r="A966" s="2"/>
      <c r="B966" s="22"/>
      <c r="C966" s="2"/>
      <c r="D966" s="13"/>
      <c r="E966" s="3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</row>
    <row r="967" ht="13.5" customHeight="1">
      <c r="A967" s="2"/>
      <c r="B967" s="22"/>
      <c r="C967" s="2"/>
      <c r="D967" s="13"/>
      <c r="E967" s="3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</row>
    <row r="968" ht="13.5" customHeight="1">
      <c r="A968" s="2"/>
      <c r="B968" s="22"/>
      <c r="C968" s="2"/>
      <c r="D968" s="13"/>
      <c r="E968" s="3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</row>
    <row r="969" ht="13.5" customHeight="1">
      <c r="A969" s="2"/>
      <c r="B969" s="22"/>
      <c r="C969" s="2"/>
      <c r="D969" s="13"/>
      <c r="E969" s="3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</row>
    <row r="970" ht="13.5" customHeight="1">
      <c r="A970" s="2"/>
      <c r="B970" s="22"/>
      <c r="C970" s="2"/>
      <c r="D970" s="13"/>
      <c r="E970" s="3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</row>
    <row r="971" ht="13.5" customHeight="1">
      <c r="A971" s="2"/>
      <c r="B971" s="22"/>
      <c r="C971" s="2"/>
      <c r="D971" s="13"/>
      <c r="E971" s="3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</row>
    <row r="972" ht="13.5" customHeight="1">
      <c r="A972" s="2"/>
      <c r="B972" s="22"/>
      <c r="C972" s="2"/>
      <c r="D972" s="13"/>
      <c r="E972" s="3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</row>
    <row r="973" ht="13.5" customHeight="1">
      <c r="A973" s="2"/>
      <c r="B973" s="22"/>
      <c r="C973" s="2"/>
      <c r="D973" s="13"/>
      <c r="E973" s="3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</row>
    <row r="974" ht="13.5" customHeight="1">
      <c r="A974" s="2"/>
      <c r="B974" s="22"/>
      <c r="C974" s="2"/>
      <c r="D974" s="13"/>
      <c r="E974" s="3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</row>
    <row r="975" ht="13.5" customHeight="1">
      <c r="A975" s="2"/>
      <c r="B975" s="22"/>
      <c r="C975" s="2"/>
      <c r="D975" s="13"/>
      <c r="E975" s="3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</row>
    <row r="976" ht="13.5" customHeight="1">
      <c r="A976" s="2"/>
      <c r="B976" s="22"/>
      <c r="C976" s="2"/>
      <c r="D976" s="13"/>
      <c r="E976" s="3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</row>
    <row r="977" ht="13.5" customHeight="1">
      <c r="A977" s="2"/>
      <c r="B977" s="22"/>
      <c r="C977" s="2"/>
      <c r="D977" s="13"/>
      <c r="E977" s="3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</row>
    <row r="978" ht="13.5" customHeight="1">
      <c r="A978" s="2"/>
      <c r="B978" s="22"/>
      <c r="C978" s="2"/>
      <c r="D978" s="13"/>
      <c r="E978" s="3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</row>
    <row r="979" ht="13.5" customHeight="1">
      <c r="A979" s="2"/>
      <c r="B979" s="22"/>
      <c r="C979" s="2"/>
      <c r="D979" s="13"/>
      <c r="E979" s="3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</row>
    <row r="980" ht="13.5" customHeight="1">
      <c r="A980" s="2"/>
      <c r="B980" s="22"/>
      <c r="C980" s="2"/>
      <c r="D980" s="13"/>
      <c r="E980" s="3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</row>
    <row r="981" ht="13.5" customHeight="1">
      <c r="A981" s="2"/>
      <c r="B981" s="22"/>
      <c r="C981" s="2"/>
      <c r="D981" s="13"/>
      <c r="E981" s="3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</row>
    <row r="982" ht="13.5" customHeight="1">
      <c r="A982" s="2"/>
      <c r="B982" s="22"/>
      <c r="C982" s="2"/>
      <c r="D982" s="13"/>
      <c r="E982" s="3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</row>
    <row r="983" ht="13.5" customHeight="1">
      <c r="A983" s="2"/>
      <c r="B983" s="22"/>
      <c r="C983" s="2"/>
      <c r="D983" s="13"/>
      <c r="E983" s="3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</row>
    <row r="984" ht="13.5" customHeight="1">
      <c r="A984" s="2"/>
      <c r="B984" s="22"/>
      <c r="C984" s="2"/>
      <c r="D984" s="13"/>
      <c r="E984" s="3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</row>
    <row r="985" ht="13.5" customHeight="1">
      <c r="A985" s="2"/>
      <c r="B985" s="22"/>
      <c r="C985" s="2"/>
      <c r="D985" s="13"/>
      <c r="E985" s="3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</row>
    <row r="986" ht="13.5" customHeight="1">
      <c r="A986" s="2"/>
      <c r="B986" s="22"/>
      <c r="C986" s="2"/>
      <c r="D986" s="13"/>
      <c r="E986" s="3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</row>
    <row r="987" ht="13.5" customHeight="1">
      <c r="A987" s="2"/>
      <c r="B987" s="22"/>
      <c r="C987" s="2"/>
      <c r="D987" s="13"/>
      <c r="E987" s="3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</row>
    <row r="988" ht="13.5" customHeight="1">
      <c r="A988" s="2"/>
      <c r="B988" s="22"/>
      <c r="C988" s="2"/>
      <c r="D988" s="13"/>
      <c r="E988" s="3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</row>
    <row r="989" ht="13.5" customHeight="1">
      <c r="A989" s="2"/>
      <c r="B989" s="22"/>
      <c r="C989" s="2"/>
      <c r="D989" s="13"/>
      <c r="E989" s="3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</row>
    <row r="990" ht="13.5" customHeight="1">
      <c r="A990" s="2"/>
      <c r="B990" s="22"/>
      <c r="C990" s="2"/>
      <c r="D990" s="13"/>
      <c r="E990" s="3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</row>
    <row r="991" ht="13.5" customHeight="1">
      <c r="A991" s="2"/>
      <c r="B991" s="22"/>
      <c r="C991" s="2"/>
      <c r="D991" s="13"/>
      <c r="E991" s="3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</row>
    <row r="992" ht="13.5" customHeight="1">
      <c r="A992" s="2"/>
      <c r="B992" s="22"/>
      <c r="C992" s="2"/>
      <c r="D992" s="13"/>
      <c r="E992" s="3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</row>
    <row r="993" ht="13.5" customHeight="1">
      <c r="A993" s="2"/>
      <c r="B993" s="22"/>
      <c r="C993" s="2"/>
      <c r="D993" s="13"/>
      <c r="E993" s="3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</row>
    <row r="994" ht="13.5" customHeight="1">
      <c r="A994" s="2"/>
      <c r="B994" s="22"/>
      <c r="C994" s="2"/>
      <c r="D994" s="13"/>
      <c r="E994" s="3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</row>
    <row r="995" ht="13.5" customHeight="1">
      <c r="A995" s="2"/>
      <c r="B995" s="22"/>
      <c r="C995" s="2"/>
      <c r="D995" s="13"/>
      <c r="E995" s="3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</row>
    <row r="996" ht="13.5" customHeight="1">
      <c r="A996" s="2"/>
      <c r="B996" s="22"/>
      <c r="C996" s="2"/>
      <c r="D996" s="13"/>
      <c r="E996" s="3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</row>
    <row r="997" ht="13.5" customHeight="1">
      <c r="A997" s="2"/>
      <c r="B997" s="22"/>
      <c r="C997" s="2"/>
      <c r="D997" s="13"/>
      <c r="E997" s="3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</row>
    <row r="998" ht="13.5" customHeight="1">
      <c r="A998" s="2"/>
      <c r="B998" s="22"/>
      <c r="C998" s="2"/>
      <c r="D998" s="13"/>
      <c r="E998" s="3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</row>
    <row r="999" ht="13.5" customHeight="1">
      <c r="A999" s="2"/>
      <c r="B999" s="22"/>
      <c r="C999" s="2"/>
      <c r="D999" s="13"/>
      <c r="E999" s="3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</row>
    <row r="1000" ht="13.5" customHeight="1">
      <c r="A1000" s="2"/>
      <c r="B1000" s="22"/>
      <c r="C1000" s="2"/>
      <c r="D1000" s="13"/>
      <c r="E1000" s="3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</row>
  </sheetData>
  <mergeCells count="10">
    <mergeCell ref="A20:A21"/>
    <mergeCell ref="A31:A32"/>
    <mergeCell ref="B31:B32"/>
    <mergeCell ref="A1:D1"/>
    <mergeCell ref="A2:C2"/>
    <mergeCell ref="A4:A6"/>
    <mergeCell ref="B4:B6"/>
    <mergeCell ref="A16:A19"/>
    <mergeCell ref="B16:B19"/>
    <mergeCell ref="B20:B2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Arathy S Darsan</dc:creator>
</cp:coreProperties>
</file>